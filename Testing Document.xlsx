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port Summary" sheetId="1" r:id="rId4"/>
    <sheet state="visible" name="Bug Log" sheetId="2" r:id="rId5"/>
    <sheet state="visible" name="RTM" sheetId="3" r:id="rId6"/>
    <sheet state="visible" name="Test Case (Unit)" sheetId="4" r:id="rId7"/>
    <sheet state="visible" name="Test Case (API, INTG)" sheetId="5" r:id="rId8"/>
    <sheet state="visible" name="Test Case (System)" sheetId="6" r:id="rId9"/>
    <sheet state="visible" name="Helper" sheetId="7" r:id="rId10"/>
    <sheet state="visible" name="Schedule" sheetId="8" r:id="rId11"/>
  </sheets>
  <definedNames/>
  <calcPr/>
  <extLst>
    <ext uri="GoogleSheetsCustomDataVersion2">
      <go:sheetsCustomData xmlns:go="http://customooxmlschemas.google.com/" r:id="rId12" roundtripDataChecksum="rHTUXjXeSm7VRG2QCjE0swfQhUDf8yJ0VS+07Z49vR0="/>
    </ext>
  </extLst>
</workbook>
</file>

<file path=xl/sharedStrings.xml><?xml version="1.0" encoding="utf-8"?>
<sst xmlns="http://schemas.openxmlformats.org/spreadsheetml/2006/main" count="4068" uniqueCount="1453">
  <si>
    <t>Test Report Summary</t>
  </si>
  <si>
    <t>Project Name</t>
  </si>
  <si>
    <t>MyNeighbor</t>
  </si>
  <si>
    <t>Summary</t>
  </si>
  <si>
    <t>Team</t>
  </si>
  <si>
    <t>BeeNest</t>
  </si>
  <si>
    <t>Total  Test Case</t>
  </si>
  <si>
    <t>Report Date</t>
  </si>
  <si>
    <t>9/28/2025</t>
  </si>
  <si>
    <t>Pass</t>
  </si>
  <si>
    <t>Fail</t>
  </si>
  <si>
    <t>PIC</t>
  </si>
  <si>
    <t>Yudha Setiawan Wicaksono</t>
  </si>
  <si>
    <t>Role</t>
  </si>
  <si>
    <t>QA</t>
  </si>
  <si>
    <t>Unit Testing - Simple Report</t>
  </si>
  <si>
    <t>Status</t>
  </si>
  <si>
    <t>Test Case</t>
  </si>
  <si>
    <t>Note:                                                                                                                                                                              Status Fail menandakan ada bug saat  dilakukan proses testing, detail bug dapat ditemukan pada Bug Log</t>
  </si>
  <si>
    <t>Integration and API Testing - Simple Report</t>
  </si>
  <si>
    <t>Status Code</t>
  </si>
  <si>
    <t>Note:                                   Status code Pass dan 404 biasanya merujuk pada tipe negative case yang dengan sengaja menciptakan kondisi diluar 2xx atau kondisi normal.</t>
  </si>
  <si>
    <t>Note:                                                                                                               Status Pending menandakan test case belum dapat dilanjutkan karena terhalang bug pada test case lain</t>
  </si>
  <si>
    <t>Pending</t>
  </si>
  <si>
    <t>System Testing - Simple Report</t>
  </si>
  <si>
    <r>
      <rPr>
        <rFont val="Arial"/>
        <color theme="1"/>
        <sz val="8.0"/>
      </rPr>
      <t xml:space="preserve">Note:                                                                                                                                                                              Status Fail menandakan ada bug saat  dilakukan proses testing, detail bug dapat ditemukan pada </t>
    </r>
    <r>
      <rPr>
        <rFont val="Arial"/>
        <b/>
        <color theme="1"/>
        <sz val="8.0"/>
      </rPr>
      <t>Bug Log</t>
    </r>
  </si>
  <si>
    <t>*Note: Detail Bug dapat dilihat di Bug Log</t>
  </si>
  <si>
    <t>Bug ID</t>
  </si>
  <si>
    <t>Test Case ID</t>
  </si>
  <si>
    <t>Bug Description</t>
  </si>
  <si>
    <t>Severity</t>
  </si>
  <si>
    <t>Priority</t>
  </si>
  <si>
    <t>BUG001</t>
  </si>
  <si>
    <t>TC-UNIT-012</t>
  </si>
  <si>
    <t>Module communication/forum-comment, fungsi remove(), ketika findUnique berisi null</t>
  </si>
  <si>
    <t>HIgh</t>
  </si>
  <si>
    <t>Medium</t>
  </si>
  <si>
    <t>NOT FIXED</t>
  </si>
  <si>
    <t>BUG002</t>
  </si>
  <si>
    <t>TC-UNIT-210</t>
  </si>
  <si>
    <t>Module Employee, fungsi update(), Penanganan error P2025</t>
  </si>
  <si>
    <t>MODERATE</t>
  </si>
  <si>
    <t>LOW</t>
  </si>
  <si>
    <t>BUG003</t>
  </si>
  <si>
    <t>TC-UNIT-118</t>
  </si>
  <si>
    <t>Module Employee, fungsi update(), Penanganan error umum (InternalServerErrorException)</t>
  </si>
  <si>
    <t>BUG004</t>
  </si>
  <si>
    <t>TC-UNIT-117</t>
  </si>
  <si>
    <t>Module ExportManageService, fungsi loadTemplate(), Ketika file tidak ditemukan seharusnya mengembalikan default</t>
  </si>
  <si>
    <t>BUG005</t>
  </si>
  <si>
    <t>TC-API-015</t>
  </si>
  <si>
    <t>API endpoint mengembalikan status 500</t>
  </si>
  <si>
    <t>BUG006</t>
  </si>
  <si>
    <t>TC-API-025</t>
  </si>
  <si>
    <t>BUG007</t>
  </si>
  <si>
    <t>TC-API-027</t>
  </si>
  <si>
    <t>BUG008</t>
  </si>
  <si>
    <t>TC-API-031</t>
  </si>
  <si>
    <t>BUG009</t>
  </si>
  <si>
    <t>TC-API-034</t>
  </si>
  <si>
    <t>BUG010</t>
  </si>
  <si>
    <t>TC-API-038</t>
  </si>
  <si>
    <t>MEDIUM</t>
  </si>
  <si>
    <t>Kelompok</t>
  </si>
  <si>
    <t>Test Type</t>
  </si>
  <si>
    <t>Steps to Produce Bug</t>
  </si>
  <si>
    <t>Test Data</t>
  </si>
  <si>
    <t>Expected Result</t>
  </si>
  <si>
    <t>Actual Result</t>
  </si>
  <si>
    <t>Unit</t>
  </si>
  <si>
    <t>1.Siapkan findUnique dengan kondisi null                                      2. Jalankan fungsi remove dengan param 'missing'</t>
  </si>
  <si>
    <t>Mock: findUnique(null)</t>
  </si>
  <si>
    <t>NotFoundException</t>
  </si>
  <si>
    <t>InternalServerErrorException</t>
  </si>
  <si>
    <t>id = 'emp-1'</t>
  </si>
  <si>
    <t>PrismaClientKnownRequestError</t>
  </si>
  <si>
    <t>1.Cari employee dengan id tertentu (Mock data)                                          2. Jalankan fungsi update (Mock func)</t>
  </si>
  <si>
    <t>updateDto = {employeeNumberId: 'E-002',
    hireDate: new Date('2025-09-02'),
    salary: 6000000.999,
    workingHours: '08:00-16:00',
    employeePosition: 'Supervisor',
    bonus: 1000000.001}</t>
  </si>
  <si>
    <t>1.Cari employee dengan id tertentu (Mock data)                                    2. Jalankan fungsi update (Mock func)</t>
  </si>
  <si>
    <t>Error</t>
  </si>
  <si>
    <t>1.Set mock readFile sebagai error Not Found 2. Jalankan fungsi loadTemplate dengan parameter "operational-report"</t>
  </si>
  <si>
    <t>Expected substring: "&lt;!DOCTYPE html&gt;"</t>
  </si>
  <si>
    <t>Received string: "...\\MyNeighbour\\Bank-End (2)\\my-neighbour-backend\\templates"</t>
  </si>
  <si>
    <t>Integration</t>
  </si>
  <si>
    <t>id: f32343eb-ef0d-4a36-8297-746991ebad71</t>
  </si>
  <si>
    <t>Status code: 200</t>
  </si>
  <si>
    <t>{
    "message": "Terjadi Kesalahan Saat Mendapatkan Data Pengguna Aplikasi",
    "error": "Internal Server Error",
    "statusCode": 500
}</t>
  </si>
  <si>
    <t>id: 9345d3d8-0a64-47d4-96a7-c04a0fa9b6e3</t>
  </si>
  <si>
    <t>"{
    ""message"": ""Terjadi Kesalahan Saat Mendapatkan Data Penghuni"",
    ""error"": ""Internal Server Error"",
    ""statusCode"": 500
}"</t>
  </si>
  <si>
    <t>id: 9345d3d8-0a64-47d4-96a7-c04a0fa9b6e4</t>
  </si>
  <si>
    <t>id: 9efc55ff-2288-4948-9e54-dd5018dbdf4e workingHours: 20</t>
  </si>
  <si>
    <t>{
    "statusCode": 500,
    "message": "Internal server error"
}</t>
  </si>
  <si>
    <t>id: 68896ddf-bb19-4286-a2cd-4750de3b70d1</t>
  </si>
  <si>
    <t>{
    "message": "Terjadi Kesalahan Saat Mendapatkan Data Pegawai",
    "error": "Internal Server Error",
    "statusCode": 500
}</t>
  </si>
  <si>
    <t>"title:PEMADAMAN LISTRIK
content:Jumat, 19/9/2025 - Kepada penghuni yang terhormat, akan diadakan pemadaman listrik pada sabtu, 20/9/2025 yang akan berlangsung sekitar 30 menit, terima kasih.
publishDate:2025-09-19
//expiryDate:2025-11-19
employeeId:68896ddf-bb19-4286-a2cd-4750de3b70d0"</t>
  </si>
  <si>
    <t>FIXED</t>
  </si>
  <si>
    <t>Requirement ID</t>
  </si>
  <si>
    <t>FR-REG-01</t>
  </si>
  <si>
    <t>FR-REG-02</t>
  </si>
  <si>
    <t>FR-REG-03</t>
  </si>
  <si>
    <t>FR-REG-04</t>
  </si>
  <si>
    <t>FR-LOG-01</t>
  </si>
  <si>
    <t>FR-PRF-01</t>
  </si>
  <si>
    <t>FR-PAY-01</t>
  </si>
  <si>
    <t>FR-PAY-02</t>
  </si>
  <si>
    <t>FR-PAY-03</t>
  </si>
  <si>
    <t>FR-PAY-04</t>
  </si>
  <si>
    <t>FR-COM-01</t>
  </si>
  <si>
    <t>FR-COM-02</t>
  </si>
  <si>
    <t>FR-COM-03</t>
  </si>
  <si>
    <t>FR-MDP-01</t>
  </si>
  <si>
    <t>FR-MDU-01</t>
  </si>
  <si>
    <t>FR-CMP-01</t>
  </si>
  <si>
    <t>FR-CMP-02</t>
  </si>
  <si>
    <t>FR-CMP-03</t>
  </si>
  <si>
    <t>FR-CMP-04</t>
  </si>
  <si>
    <t>FR-CMP-05</t>
  </si>
  <si>
    <t>FR-CMP-06</t>
  </si>
  <si>
    <t>FR-SEC-01</t>
  </si>
  <si>
    <t>FR-SEC-02</t>
  </si>
  <si>
    <t>FR-SEC-03</t>
  </si>
  <si>
    <t>FR-DIR-01</t>
  </si>
  <si>
    <t>FR-DIR-02</t>
  </si>
  <si>
    <t>FR-RPT-03</t>
  </si>
  <si>
    <t>FR-RPT-04</t>
  </si>
  <si>
    <t>FR-RPT-05</t>
  </si>
  <si>
    <t>TC-SYS-01</t>
  </si>
  <si>
    <t>TC-SYS-02</t>
  </si>
  <si>
    <t>TC-SYS-03</t>
  </si>
  <si>
    <t>TC-SYS-04</t>
  </si>
  <si>
    <t>TC-SYS-05</t>
  </si>
  <si>
    <t>TC-SYS-06</t>
  </si>
  <si>
    <t>TC-SYS-07</t>
  </si>
  <si>
    <t>TC-SYS-08</t>
  </si>
  <si>
    <t>TC-SYS-09</t>
  </si>
  <si>
    <t>TC-SYS-10</t>
  </si>
  <si>
    <t>TC-SYS-11</t>
  </si>
  <si>
    <t>TC-SYS-12</t>
  </si>
  <si>
    <t>TC-SYS-13</t>
  </si>
  <si>
    <t>TC-SYS-14</t>
  </si>
  <si>
    <t>TC-SYS-15</t>
  </si>
  <si>
    <t>TC-SYS-16</t>
  </si>
  <si>
    <t>TC-SYS-17</t>
  </si>
  <si>
    <t>TC-SYS-18</t>
  </si>
  <si>
    <t>TC-SYS-19</t>
  </si>
  <si>
    <t>TC-SYS-20</t>
  </si>
  <si>
    <t>TC-SYS-21</t>
  </si>
  <si>
    <t>TC-SYS-22</t>
  </si>
  <si>
    <t>TC-SYS-23</t>
  </si>
  <si>
    <t>TC-SYS-24</t>
  </si>
  <si>
    <t>TC-SYS-25</t>
  </si>
  <si>
    <t>TC-SYS-26</t>
  </si>
  <si>
    <t>Forward Reqiurement Traceability Matrix</t>
  </si>
  <si>
    <t>Req ID</t>
  </si>
  <si>
    <t xml:space="preserve"> Note</t>
  </si>
  <si>
    <t>FR-REG-01, FR-REG-02</t>
  </si>
  <si>
    <t>FR-REG-01, FR-REG-03</t>
  </si>
  <si>
    <t>FR-REG-03,FR-REG-04</t>
  </si>
  <si>
    <t>FR-REG-03,FR-REG-05</t>
  </si>
  <si>
    <t>FR-PAY-01, FR-PAY-02, FR-PAY-03, FR-PAY-04</t>
  </si>
  <si>
    <t>FR-CMP-01, FR-CMP-02, FR-CMP-03, FR-CMP-04, FR-CMP-05, FR-CMP-06</t>
  </si>
  <si>
    <t>FR-COM-01,FR-COM-02,FR-COM-03</t>
  </si>
  <si>
    <t>FR-SEC-01,FR-SEC-02,FR-SEC-03</t>
  </si>
  <si>
    <t>FR-RPT-01,FR-RPT-02,FR-RPT-03</t>
  </si>
  <si>
    <r>
      <rPr>
        <rFont val="Arial"/>
        <color theme="1"/>
        <sz val="8.0"/>
      </rPr>
      <t xml:space="preserve">Note:                                                                                                                                                                              Status Fail menandakan ada bug saat  dilakukan proses testing, detail bug dapat ditemukan pada </t>
    </r>
    <r>
      <rPr>
        <rFont val="Arial"/>
        <b/>
        <color theme="1"/>
        <sz val="8.0"/>
      </rPr>
      <t>Bug Log</t>
    </r>
  </si>
  <si>
    <t>Unit Testing</t>
  </si>
  <si>
    <t>Prioritas</t>
  </si>
  <si>
    <t>Module/Sub-Module</t>
  </si>
  <si>
    <t>Function</t>
  </si>
  <si>
    <t>Case Type</t>
  </si>
  <si>
    <t>Data/Mock</t>
  </si>
  <si>
    <t>Langka Uji</t>
  </si>
  <si>
    <t>Hasil yang diharapkan</t>
  </si>
  <si>
    <t>Hasil Uji</t>
  </si>
  <si>
    <t>Jenis Testing</t>
  </si>
  <si>
    <t>Tanggal Eksekusi</t>
  </si>
  <si>
    <t>Middle</t>
  </si>
  <si>
    <t>TC-UNIT-001</t>
  </si>
  <si>
    <t>Communication / forum-comment/service</t>
  </si>
  <si>
    <t>create()</t>
  </si>
  <si>
    <t>Positive Case</t>
  </si>
  <si>
    <t>DTO: {content:'Komentar pertama', postId:'post-1', userId:'user-1'}; Mock: prisma.forumComments.create -&gt; resolve({id:'c-1', ...})</t>
  </si>
  <si>
    <t>Panggil service.create(dto)</t>
  </si>
  <si>
    <t>Objek komentar baru dikembalikan dengan id 'c-1'</t>
  </si>
  <si>
    <t>Kamis, 4/9/2025</t>
  </si>
  <si>
    <t>TC-UNIT-002</t>
  </si>
  <si>
    <t>Negative Case – InternalServerErrorException</t>
  </si>
  <si>
    <t>DTO: sama; Mock: prisma.forumComments.create -&gt; throw Error('db err')</t>
  </si>
  <si>
    <t>Throw InternalServerErrorException</t>
  </si>
  <si>
    <t>Terjadi InternalServerErrorException sesuai ekspektasi</t>
  </si>
  <si>
    <t>TC-UNIT-003</t>
  </si>
  <si>
    <t>findAll()</t>
  </si>
  <si>
    <t>Positive Case – include user; orderBy createdAt asc</t>
  </si>
  <si>
    <t>Mock: prisma.forumComments.findMany -&gt; array 2 item, include user select fields</t>
  </si>
  <si>
    <t>Panggil service.findAll()</t>
  </si>
  <si>
    <t>findMany dipanggil dgn include user &amp; orderBy asc; hasil 2 item</t>
  </si>
  <si>
    <t>TC-UNIT-004</t>
  </si>
  <si>
    <t>Mock: prisma.forumComments.findMany -&gt; throw Error('db err')</t>
  </si>
  <si>
    <t>TC-UNIT-005</t>
  </si>
  <si>
    <t>findOne()</t>
  </si>
  <si>
    <t>Positive Case – include user &amp; post</t>
  </si>
  <si>
    <t>ID: 'c-1'; Mock: prisma.forumComments.findUniqueOrThrow -&gt; entity dengan user &amp; post</t>
  </si>
  <si>
    <t>Panggil service.findOne('c-1')</t>
  </si>
  <si>
    <t>Return entity dengan id 'c-1', include user &amp; post</t>
  </si>
  <si>
    <t>TC-UNIT-006</t>
  </si>
  <si>
    <t>ID: 'x'; Mock: findUniqueOrThrow -&gt; throw Error('db err')</t>
  </si>
  <si>
    <t>Panggil service.findOne('x')</t>
  </si>
  <si>
    <t>TC-UNIT-007</t>
  </si>
  <si>
    <t>update()</t>
  </si>
  <si>
    <t>Positive Case – pre-check OK &amp; update berhasil</t>
  </si>
  <si>
    <t>ID: 'c-1'; Mock: findUniqueOrThrow -&gt; entity lama; update -&gt; entity baru</t>
  </si>
  <si>
    <t>Panggil service.update('c-1', updateDto)</t>
  </si>
  <si>
    <t>update dipanggil dgn data (content, postId, userId, updatedAt Date); return id 'c-1'</t>
  </si>
  <si>
    <t>TC-UNIT-008</t>
  </si>
  <si>
    <t>Negative Case – NotFoundException saat pre-check</t>
  </si>
  <si>
    <t>ID: 'missing'; Mock: findUniqueOrThrow -&gt; throw NotFoundError</t>
  </si>
  <si>
    <t>Panggil service.update('missing', updateDto)</t>
  </si>
  <si>
    <t>Throw NotFoundException</t>
  </si>
  <si>
    <t>Terjadi NotFoundException sesuai ekspektasi</t>
  </si>
  <si>
    <t>TC-UNIT-009</t>
  </si>
  <si>
    <t>Negative Case – Prisma P2025 saat pre-check</t>
  </si>
  <si>
    <t>ID: 'missing'; Mock: findUniqueOrThrow -&gt; throw Prisma P2025</t>
  </si>
  <si>
    <t>TC-UNIT-010</t>
  </si>
  <si>
    <t>Negative Case – DB error saat update</t>
  </si>
  <si>
    <t>ID: 'c-1'; Mock: findUniqueOrThrow -&gt; entity; update -&gt; throw Error('db err')</t>
  </si>
  <si>
    <t>TC-UNIT-011</t>
  </si>
  <si>
    <t>remove()</t>
  </si>
  <si>
    <t>Positive Case – Data berhasil dihapus</t>
  </si>
  <si>
    <t>ID: 'c-1'; Mock: findUnique -&gt; entity; delete -&gt; entity</t>
  </si>
  <si>
    <t>Panggil service.remove('c-1')</t>
  </si>
  <si>
    <t>findUnique &amp; delete dipanggil dgn where id; return {id:'c-1'}</t>
  </si>
  <si>
    <t>Negative Case – findUnique bernilai null</t>
  </si>
  <si>
    <t>ID: 'missing'; Mock: findUnique -&gt; null</t>
  </si>
  <si>
    <t>Panggil service.remove('missing')</t>
  </si>
  <si>
    <t>Terjadi InternalServerErrorException tidak sesuai ekspektasi</t>
  </si>
  <si>
    <t>TC-UNIT-013</t>
  </si>
  <si>
    <t>Negative Case – NotFoundError pada findUnique</t>
  </si>
  <si>
    <t>ID: 'missing'; Mock: findUnique -&gt; throw NotFoundError</t>
  </si>
  <si>
    <t>TC-UNIT-014</t>
  </si>
  <si>
    <t>Negative Case – Prisma P2025 pada delete</t>
  </si>
  <si>
    <t>ID: 'c-1'; Mock: findUnique -&gt; entity; delete -&gt; throw Prisma P2025</t>
  </si>
  <si>
    <t>TC-UNIT-015</t>
  </si>
  <si>
    <t>Negative Case – DB error pada delete</t>
  </si>
  <si>
    <t>ID: 'c-1'; Mock: findUnique -&gt; entity; delete -&gt; throw Error('db err')</t>
  </si>
  <si>
    <t>TC-UNIT-016</t>
  </si>
  <si>
    <t>Communication / forum-post/service</t>
  </si>
  <si>
    <t>Positive Case – files &amp; include tags</t>
  </si>
  <si>
    <t>Files: ['uploads/a.pdf','uploads/b.jpg']; Mock: processFiles -&gt; ['uploads/a.pdf','uploads/b.jpg']; users.findUnique -&gt; {id:'user-1',role:'ADMIN'}; forumPosts.create -&gt; resolve entity w/ tags</t>
  </si>
  <si>
    <t>Panggil service.create(createDto, filesMock)</t>
  </si>
  <si>
    <t>Return post {id:'fp-1'}; authorRole 'ADMIN'; attachments tersimpan; tags ter-include</t>
  </si>
  <si>
    <t>TC-UNIT-017</t>
  </si>
  <si>
    <t>Positive Case – user.role undefined → pakai DTO.authorRole</t>
  </si>
  <si>
    <t>Mock: processFiles -&gt; []; users.findUnique -&gt; null; forumPosts.create -&gt; resolve entity authorRole=createDto.authorRole</t>
  </si>
  <si>
    <t>Panggil service.create(createDto, undefined)</t>
  </si>
  <si>
    <t>Return post dengan authorRole sesuai DTO; attachments=[]</t>
  </si>
  <si>
    <t>TC-UNIT-018</t>
  </si>
  <si>
    <t>Negative Case – NotFoundError → NotFoundException</t>
  </si>
  <si>
    <t>Mock: forumPosts.create -&gt; throw NotFoundError</t>
  </si>
  <si>
    <t>TC-UNIT-019</t>
  </si>
  <si>
    <t>Negative Case – Prisma P2025 → NotFoundException</t>
  </si>
  <si>
    <t>Mock: forumPosts.create -&gt; throw Prisma P2025</t>
  </si>
  <si>
    <t>TC-UNIT-020</t>
  </si>
  <si>
    <t>Negative Case – Error umum → InternalServerErrorException</t>
  </si>
  <si>
    <t>Mock: forumPosts.create -&gt; throw Error('db err')</t>
  </si>
  <si>
    <t>TC-UNIT-021</t>
  </si>
  <si>
    <t>Positive Case – include user &amp; _count; attachments diparse</t>
  </si>
  <si>
    <t>Mock: forumPosts.findMany -&gt; 2 items, attachments='["p1","p2"]' &amp; null; safeParseAttachments -&gt; ['p1','p2'] lalu []</t>
  </si>
  <si>
    <t>findMany dipanggil dengan include user select dan _count; orderBy title asc; attachments menjadi list</t>
  </si>
  <si>
    <t>TC-UNIT-022</t>
  </si>
  <si>
    <t>Negative Case– Error umum → InternalServerErrorException</t>
  </si>
  <si>
    <t>Mock: forumPosts.findMany -&gt; throw Error('db err')</t>
  </si>
  <si>
    <t>TC-UNIT-023</t>
  </si>
  <si>
    <t>Positive Case – include comments,tags,user; attachments diparse</t>
  </si>
  <si>
    <t>Mock: forumPosts.findUniqueOrThrow -&gt; entity attachments='["p1"]'; safeParseAttachments -&gt; ['p1']</t>
  </si>
  <si>
    <t>Panggil service.findOne('fp-1')</t>
  </si>
  <si>
    <t>Return entity; attachments=['p1']</t>
  </si>
  <si>
    <t>TC-UNIT-024</t>
  </si>
  <si>
    <t>Mock: forumPosts.findUniqueOrThrow -&gt; throw Error('db err')</t>
  </si>
  <si>
    <t>Panggil service.findOne('missing')</t>
  </si>
  <si>
    <t>TC-UNIT-025</t>
  </si>
  <si>
    <t>Positive Case – files baru (hapus attachments lama)</t>
  </si>
  <si>
    <t>Mock: findUniqueOrThrow -&gt; entity attachments='["old1","old2"]'; processFiles -&gt; ['new1','new2']; safeParseAttachments -&gt; ['old1','old2']; forumPosts.update -&gt; entity baru; GeneralHelper.deleteFile dipanggil 2x</t>
  </si>
  <si>
    <t>Panggil service.update('fp-1', updateDto, filesMock)</t>
  </si>
  <si>
    <t>deleteFile dipanggil 2x; update menyimpan attachments ['new1','new2'] &amp; memperbarui field; return id 'fp-1'</t>
  </si>
  <si>
    <t>TC-UNIT-026</t>
  </si>
  <si>
    <t>Positive Case – tanpa files baru (pertahankan attachments lama)</t>
  </si>
  <si>
    <t>Mock: findUniqueOrThrow -&gt; entity attachments='["old1","old2"]'; safeParseAttachments -&gt; ['old1','old2']; forumPosts.update -&gt; entity dengan attachments lama</t>
  </si>
  <si>
    <t>Panggil service.update('fp-1', {}, undefined)</t>
  </si>
  <si>
    <t>deleteFile tidak dipanggil; attachments tetap ['old1','old2']</t>
  </si>
  <si>
    <t>TC-UNIT-027</t>
  </si>
  <si>
    <t>Negative Case – NotFoundError pre-check → NotFoundException</t>
  </si>
  <si>
    <t>Mock: findUniqueOrThrow -&gt; throw NotFoundError</t>
  </si>
  <si>
    <t>TC-UNIT-028</t>
  </si>
  <si>
    <t>Negative Case – Prisma P2025 pre-check → NotFoundException</t>
  </si>
  <si>
    <t>Mock: findUniqueOrThrow -&gt; throw Prisma P2025</t>
  </si>
  <si>
    <t>TC-UNIT-029</t>
  </si>
  <si>
    <t>Negative Case – Error umum saat update → InternalServerErrorException</t>
  </si>
  <si>
    <t>Mock: findUniqueOrThrow -&gt; entity attachments='[]'; safeParseAttachments -&gt; []; forumPosts.update -&gt; throw Error('db err')</t>
  </si>
  <si>
    <t>Panggil service.update('fp-1', updateDto)</t>
  </si>
  <si>
    <t>TC-UNIT-030</t>
  </si>
  <si>
    <t>Positive Case – hapus post &amp; hapus file attachments lama</t>
  </si>
  <si>
    <t>Mock: findUniqueOrThrow -&gt; entity attachments='["p1","p2"]'; safeParseAttachments -&gt; ['p1','p2']; forumPosts.delete -&gt; {id:'fp-1'}; GeneralHelper.deleteFile dipanggil 2x</t>
  </si>
  <si>
    <t>Panggil service.remove('fp-1')</t>
  </si>
  <si>
    <t>deleteFile dipanggil 2x; forumPosts.delete dipanggil with where id; return {id:'fp-1'}</t>
  </si>
  <si>
    <t>TC-UNIT-031</t>
  </si>
  <si>
    <t>TC-UNIT-032</t>
  </si>
  <si>
    <t>TC-UNIT-033</t>
  </si>
  <si>
    <t>Negative Case – Error umum saat delete → InternalServerErrorException</t>
  </si>
  <si>
    <t>Mock: findUniqueOrThrow -&gt; entity attachments='[]'; safeParseAttachments -&gt; []; forumPosts.delete -&gt; throw Error('db err')</t>
  </si>
  <si>
    <t>TC-UNIT-034</t>
  </si>
  <si>
    <t>Communication / announcement/service</t>
  </si>
  <si>
    <t>title="Info Listrik", content="Pemadaman sementara", employeeId="emp-1", files=[a.pdf,b.jpg]</t>
  </si>
  <si>
    <t>Pengumuman berhasil dibuat dengan attachments tersimpan &amp; relasi employee terkoneksi</t>
  </si>
  <si>
    <t>Objek pengumuman dibuat; attachments=['uploads/a.pdf','uploads/b.jpg']</t>
  </si>
  <si>
    <t>Senin, 8/9/2025</t>
  </si>
  <si>
    <t>TC-UNIT-035</t>
  </si>
  <si>
    <t>Payload create valid</t>
  </si>
  <si>
    <t>Service melempar InternalServerErrorException</t>
  </si>
  <si>
    <t>TC-UNIT-036</t>
  </si>
  <si>
    <t>Positive Case – include employee.user; orderBy title asc</t>
  </si>
  <si>
    <t>-</t>
  </si>
  <si>
    <t>Return array pengumuman dengan attachments terparse dan user ter-include; urut title asc</t>
  </si>
  <si>
    <t>2 item dikembalikan; attachments terparse ['p1','p2'] / []</t>
  </si>
  <si>
    <t>TC-UNIT-037</t>
  </si>
  <si>
    <t>TC-UNIT-038</t>
  </si>
  <si>
    <t>id='ann-1'</t>
  </si>
  <si>
    <t>Panggil service.findOne('ann-1')</t>
  </si>
  <si>
    <t>Return detail pengumuman lengkap (employee.user) dengan attachments terparse</t>
  </si>
  <si>
    <t>Objek dikembalikan; attachments=['p1']</t>
  </si>
  <si>
    <t>TC-UNIT-039</t>
  </si>
  <si>
    <t>Negative Case – P2025/NotFoundException</t>
  </si>
  <si>
    <t>id='missing'</t>
  </si>
  <si>
    <t>Service melempar NotFoundException</t>
  </si>
  <si>
    <t>TC-UNIT-040</t>
  </si>
  <si>
    <t>Panggil service.findOne('missing')).rejects.toBeInstanceOf(NotFoundException)</t>
  </si>
  <si>
    <t>TC-UNIT-041</t>
  </si>
  <si>
    <t>Positive Case – dengan files baru (hapus attachments lama)</t>
  </si>
  <si>
    <t>id='ann-1', updateDto berisi perubahan &amp; files baru</t>
  </si>
  <si>
    <t>Panggil service.findOne('missing')).rejects.toBeInstanceOf(InternalServerErrorException)</t>
  </si>
  <si>
    <t>File lama dihapus via GeneralHelper.deleteFile; data terupdate dengan attachments baru</t>
  </si>
  <si>
    <t>deleteFile dipanggil 2x; hasil update berisi attachments ['new1','new2']</t>
  </si>
  <si>
    <t>TC-UNIT-042</t>
  </si>
  <si>
    <t>Positive Case – tanpa files baru (pertahankan lama)</t>
  </si>
  <si>
    <t>id='ann-1', updateDto kosong, files undefined</t>
  </si>
  <si>
    <t>Panggil service.update('ann-1', updateDto as any, filesMock)</t>
  </si>
  <si>
    <t>Attachments lama tetap dipakai; tidak ada penghapusan file</t>
  </si>
  <si>
    <t>deleteFile tidak dipanggil; hasil berisi ['old1','old2']</t>
  </si>
  <si>
    <t>TC-UNIT-043</t>
  </si>
  <si>
    <t>Negative Case – P2025/NotFoundException pada pre-check</t>
  </si>
  <si>
    <t>Panggil service.update('ann-1', {} as any, undefined)</t>
  </si>
  <si>
    <t>TC-UNIT-044</t>
  </si>
  <si>
    <t>Negative Case – InternalServerErrorException saat update</t>
  </si>
  <si>
    <t>id='ann-1', updateDto valid</t>
  </si>
  <si>
    <t>Panggil service.update('missing', updateDto as       any)).rejects.toBeInstanceOf(NotFoundException,)</t>
  </si>
  <si>
    <t>TC-UNIT-045</t>
  </si>
  <si>
    <t>Positive Case – hapus dan bersihkan attachments</t>
  </si>
  <si>
    <t xml:space="preserve"> Panggil service.update('ann-1', updateDto as any)).rejects.toBeInstanceOf(
        InternalServerErrorException,
      )</t>
  </si>
  <si>
    <t>File lama dihapus; record terhapus</t>
  </si>
  <si>
    <t>deleteFile dipanggil 2x; prisma.delete dipanggil; return {id:'ann-1'}</t>
  </si>
  <si>
    <t>TC-UNIT-046</t>
  </si>
  <si>
    <t>Panggil service.remove('ann-1')</t>
  </si>
  <si>
    <t>TC-UNIT-047</t>
  </si>
  <si>
    <t>Negative Case – InternalServerErrorException saat delete</t>
  </si>
  <si>
    <t>TC-UNIT-048</t>
  </si>
  <si>
    <t>getAnnouncementFiles()</t>
  </si>
  <si>
    <t>Positive Case – kembalikan info file</t>
  </si>
  <si>
    <t>Panggil service.getAnnouncementFiles('ann-1')</t>
  </si>
  <si>
    <t>Mengembalikan array info file {path, exists, size}</t>
  </si>
  <si>
    <t>Dikembalikan 2 item dengan exists=true dan size=1234</t>
  </si>
  <si>
    <t>TC-UNIT-049</t>
  </si>
  <si>
    <t>TC-UNIT-050</t>
  </si>
  <si>
    <t>Communication / complaint/service</t>
  </si>
  <si>
    <t>title="Lampu padam", description="Mati listrik", employeeId="emp-1", residentId="res-1", images=["img1.jpg"]</t>
  </si>
  <si>
    <t>Keluhan berhasil dibuat dan mengembalikan objek dengan id</t>
  </si>
  <si>
    <t>Objek dikembalikan: { id: 'c-1', ... }</t>
  </si>
  <si>
    <t>Selasa, 9/9/2025</t>
  </si>
  <si>
    <t>TC-UNIT-051</t>
  </si>
  <si>
    <t>InternalServerErrorException terjadi sesuai ekspektasi</t>
  </si>
  <si>
    <t>TC-UNIT-052</t>
  </si>
  <si>
    <t>Positive Case – orderBy submittedAt asc</t>
  </si>
  <si>
    <t>Mengembalikan array keluhan terurut submittedAt asc</t>
  </si>
  <si>
    <t>2 item dikembalikan; urutan sesuai</t>
  </si>
  <si>
    <t>TC-UNIT-053</t>
  </si>
  <si>
    <t>TC-UNIT-054</t>
  </si>
  <si>
    <t>Positive Case – include employee &amp; resident</t>
  </si>
  <si>
    <t>id='c-1'</t>
  </si>
  <si>
    <t>Mengembalikan detail keluhan beserta relasi employee.user dan resident.user/unit</t>
  </si>
  <si>
    <t>Objek dikembalikan berisi employee.user.username='budi' dan resident.unit.unitNumber='101'</t>
  </si>
  <si>
    <t>TC-UNIT-055</t>
  </si>
  <si>
    <t>id='x' (tidak ada)</t>
  </si>
  <si>
    <t>TC-UNIT-056</t>
  </si>
  <si>
    <t>Positive Case – update seluruh field</t>
  </si>
  <si>
    <t>id='c-1', dto berisi perubahan title/description/category/employeeId/residentId/images/resolutionDetails/resolvedAt/unitId</t>
  </si>
  <si>
    <t>Panggil service.update('c-1', dto)</t>
  </si>
  <si>
    <t>Data terupdate dan mengembalikan objek terbaru</t>
  </si>
  <si>
    <t>Objek dengan id='c-1' terupdate; title sesuai dto</t>
  </si>
  <si>
    <t>TC-UNIT-057</t>
  </si>
  <si>
    <t>Panggil service.update('missing', dto)</t>
  </si>
  <si>
    <t>NotFoundException terjadi sesuai ekspektasi</t>
  </si>
  <si>
    <t>TC-UNIT-058</t>
  </si>
  <si>
    <t>Negative Case – P2025 pre-check → NotFoundException</t>
  </si>
  <si>
    <t>TC-UNIT-059</t>
  </si>
  <si>
    <t>TC-UNIT-060</t>
  </si>
  <si>
    <t>Positive Case – hapus data</t>
  </si>
  <si>
    <t>Record terhapus dan mengembalikan objek terhapus</t>
  </si>
  <si>
    <t>Return { id: 'c-1' }</t>
  </si>
  <si>
    <t>TC-UNIT-061</t>
  </si>
  <si>
    <t>TC-UNIT-062</t>
  </si>
  <si>
    <t>TC-UNIT-063</t>
  </si>
  <si>
    <t>TC-UNIT-064</t>
  </si>
  <si>
    <t>Communication / security/service</t>
  </si>
  <si>
    <t>title="Pencurian", description="Motor hilang", incidentDate="2025-09-01", location="Blok A", status="OPEN", employeeId="emp-1"</t>
  </si>
  <si>
    <t>Laporan keamanan berhasil dibuat dan mengembalikan objek dengan id</t>
  </si>
  <si>
    <t>Objek dikembalikan: { id: 's-1', ... }</t>
  </si>
  <si>
    <t>TC-UNIT-065</t>
  </si>
  <si>
    <t>TC-UNIT-066</t>
  </si>
  <si>
    <t>Mengembalikan array laporan keamanan dengan data employee.user; urut title asc</t>
  </si>
  <si>
    <t>1 item dikembalikan; struktur sesuai</t>
  </si>
  <si>
    <t>TC-UNIT-067</t>
  </si>
  <si>
    <t>TC-UNIT-068</t>
  </si>
  <si>
    <t>Positive Case – include employee.user</t>
  </si>
  <si>
    <t>id='s-1'</t>
  </si>
  <si>
    <t>Panggil service.findOne('s-1')</t>
  </si>
  <si>
    <t>Mengembalikan detail laporan beserta employee.user</t>
  </si>
  <si>
    <t>Objek dikembalikan; employee.user.username='budi'</t>
  </si>
  <si>
    <t>TC-UNIT-069</t>
  </si>
  <si>
    <t>TC-UNIT-070</t>
  </si>
  <si>
    <t>id="s-1", dto: title/description/incidentDate/location/status/employeeId</t>
  </si>
  <si>
    <t>Panggil service.update('s-1', dto)</t>
  </si>
  <si>
    <t>Objek dengan id='s-1' terupdate; title sesuai dto</t>
  </si>
  <si>
    <t>TC-UNIT-071</t>
  </si>
  <si>
    <t>TC-UNIT-072</t>
  </si>
  <si>
    <t>TC-UNIT-073</t>
  </si>
  <si>
    <t>TC-UNIT-074</t>
  </si>
  <si>
    <t>Positive Case – hapus laporan</t>
  </si>
  <si>
    <t>Panggil service.remove('s-1')</t>
  </si>
  <si>
    <t>Return { id: 's-1' }</t>
  </si>
  <si>
    <t>TC-UNIT-075</t>
  </si>
  <si>
    <t>TC-UNIT-076</t>
  </si>
  <si>
    <t>Negative Case – P2025 → NotFoundException</t>
  </si>
  <si>
    <t>TC-UNIT-077</t>
  </si>
  <si>
    <t>TC-UNIT-078</t>
  </si>
  <si>
    <t>Communication / unit/service</t>
  </si>
  <si>
    <t>unitNumber="A-101", buildingName="Tower A", location="Lantai 1", priceSale=12345.67, status="AVAILABLE", floorNumber=1, numberOfRooms=2, squareFootage=45.5</t>
  </si>
  <si>
    <t>Unit berhasil dibuat dan mengembalikan objek dengan id</t>
  </si>
  <si>
    <t>Objek dikembalikan: { id: 'u-1', ... }</t>
  </si>
  <si>
    <t>TC-UNIT-079</t>
  </si>
  <si>
    <t>TC-UNIT-080</t>
  </si>
  <si>
    <t>Positive Case – include _count; orderBy unitNumber asc</t>
  </si>
  <si>
    <t>Mengembalikan array unit dengan count Complaints/Residents/Bills/Payments</t>
  </si>
  <si>
    <t>1 item dikembalikan dengan count sesuai</t>
  </si>
  <si>
    <t>TC-UNIT-081</t>
  </si>
  <si>
    <t>TC-UNIT-082</t>
  </si>
  <si>
    <t>Positive Case – include Bills/Complaints/Residents</t>
  </si>
  <si>
    <t>id='u-1'</t>
  </si>
  <si>
    <t>Panggil service.findOne('u-1')</t>
  </si>
  <si>
    <t>Mengembalikan detail unit beserta Bills, Complaints, Residents.user</t>
  </si>
  <si>
    <t>Objek dikembalikan; Bills.amount=100000, Complaints[0].title='Air Bocor'</t>
  </si>
  <si>
    <t>TC-UNIT-083</t>
  </si>
  <si>
    <t>TC-UNIT-084</t>
  </si>
  <si>
    <t>id='u-1', dto: unitNumber/buildingName/location/priceSale/status/floorNumber/numberOfRooms/squareFootage</t>
  </si>
  <si>
    <t>Panggil service.update('u-1', dto)</t>
  </si>
  <si>
    <t>Objek dengan id='u-1' terupdate; status='SOLD'</t>
  </si>
  <si>
    <t>TC-UNIT-085</t>
  </si>
  <si>
    <t>TC-UNIT-086</t>
  </si>
  <si>
    <t>TC-UNIT-087</t>
  </si>
  <si>
    <t>Positive Case – hapus unit</t>
  </si>
  <si>
    <t>Panggil service.remove('u-1')</t>
  </si>
  <si>
    <t>Return { id: 'u-1' }</t>
  </si>
  <si>
    <t>TC-UNIT-088</t>
  </si>
  <si>
    <t>Negative Case – NotFoundException saat pre-check (findUnique null)</t>
  </si>
  <si>
    <t>TC-UNIT-089</t>
  </si>
  <si>
    <t>Negative Case – P2025 saat delete → NotFoundException</t>
  </si>
  <si>
    <t>TC-UNIT-090</t>
  </si>
  <si>
    <t>TC-UNIT-091</t>
  </si>
  <si>
    <t>User Management / app-user/service</t>
  </si>
  <si>
    <t>Positive Case – Hash &amp; omit password</t>
  </si>
  <si>
    <t>fullName="Budi Santoso", firstName="Budi", lastName="Santoso", username="budi", primaryEmail="budi@example.com", password="Secret#123", role="USER", gender="M"</t>
  </si>
  <si>
    <t>bcrypt.hash dipanggil (salt=15); users.create dipanggil; password tidak muncul di response</t>
  </si>
  <si>
    <t>Objek { id:'u-1', ... } dikembalikan tanpa field password</t>
  </si>
  <si>
    <t>TC-UNIT-092</t>
  </si>
  <si>
    <t>Service melempar InternalServerErrorException saat prisma.users.create error</t>
  </si>
  <si>
    <t>TC-UNIT-093</t>
  </si>
  <si>
    <t>Positive Case – include Employee/Resident/_count; orderBy fullName asc</t>
  </si>
  <si>
    <t>Mengembalikan array user; relasi &amp; _count terisi; urut fullName asc</t>
  </si>
  <si>
    <t>TC-UNIT-094</t>
  </si>
  <si>
    <t>Service melempar InternalServerErrorException saat prisma.users.findMany error</t>
  </si>
  <si>
    <t>TC-UNIT-095</t>
  </si>
  <si>
    <t>Positive Case – include Employee(Announcements,Complaints) &amp; Resident(unit)</t>
  </si>
  <si>
    <t>id="u-1"</t>
  </si>
  <si>
    <t>Mengembalikan detail user beserta relasi sesuai select &amp; orderBy publishDate asc</t>
  </si>
  <si>
    <t>Objek dikembalikan; Employee.employeeNumberId='E1'; Resident.unit.unitNumber='A-101'</t>
  </si>
  <si>
    <t>TC-UNIT-096</t>
  </si>
  <si>
    <t>id="missing"</t>
  </si>
  <si>
    <t>Service melempar NotFoundException ketika NotFoundError</t>
  </si>
  <si>
    <t>TC-UNIT-097</t>
  </si>
  <si>
    <t>Service melempar InternalServerErrorException saat error umum</t>
  </si>
  <si>
    <t>TC-UNIT-098</t>
  </si>
  <si>
    <t>Positive Case – Update non-password &amp; omit password di response</t>
  </si>
  <si>
    <t>id="u-1", dto: fullName/firstName/lastName/username/primaryEmail/role/gender/secondaryEmail/contactNumber/dateOfBirth</t>
  </si>
  <si>
    <t>Data user terupdate; updatedAt terisi; password tidak ada di response</t>
  </si>
  <si>
    <t>Objek { id:'u-1', role:'ADMIN', ... } tanpa password</t>
  </si>
  <si>
    <t>TC-UNIT-099</t>
  </si>
  <si>
    <t>id="missing", dto=valid</t>
  </si>
  <si>
    <t>TC-UNIT-100</t>
  </si>
  <si>
    <t>Service melempar NotFoundException ketika P2025</t>
  </si>
  <si>
    <t>TC-UNIT-101</t>
  </si>
  <si>
    <t>id="u-1", dto=valid</t>
  </si>
  <si>
    <t>Service melempar InternalServerErrorException saat prisma.users.update error</t>
  </si>
  <si>
    <t>TC-UNIT-102</t>
  </si>
  <si>
    <t>Positive Case – Hapus user</t>
  </si>
  <si>
    <t>Record terhapus; mengembalikan objek terhapus</t>
  </si>
  <si>
    <t>Return { id:'u-1' }</t>
  </si>
  <si>
    <t>TC-UNIT-103</t>
  </si>
  <si>
    <t>TC-UNIT-104</t>
  </si>
  <si>
    <t>TC-UNIT-105</t>
  </si>
  <si>
    <t>Service melempar InternalServerErrorException saat prisma.users.delete error</t>
  </si>
  <si>
    <t>TC-UNIT-106</t>
  </si>
  <si>
    <t>passwordHashing()</t>
  </si>
  <si>
    <t>Positive Case – bcrypt.hash dipanggil dengan salt=15</t>
  </si>
  <si>
    <t>password="abc"</t>
  </si>
  <si>
    <t>Panggil service.passwordHashing('abc')</t>
  </si>
  <si>
    <t>bcrypt.hash dipanggil dengan (password, 15) dan mengembalikan hashed string</t>
  </si>
  <si>
    <t>hashing valid (nilai tidak perlu ditentukan)</t>
  </si>
  <si>
    <t>TC-UNIT-107</t>
  </si>
  <si>
    <t>compare()</t>
  </si>
  <si>
    <t>Positive Case – bcrypt.compare mengembalikan true</t>
  </si>
  <si>
    <t>password="abc", hashed="hashed!"</t>
  </si>
  <si>
    <t>Panggil service.compare('abc','hashed!')</t>
  </si>
  <si>
    <t>bcrypt.compare dipanggil dan mengembalikan boolean</t>
  </si>
  <si>
    <t>true dikembalikan</t>
  </si>
  <si>
    <t>TC-UNIT-108</t>
  </si>
  <si>
    <t>Employee Management / employee/service</t>
  </si>
  <si>
    <t>Positive Case – Berhasil create &amp; twoDecimal dipanggil</t>
  </si>
  <si>
    <t>userId="u-1", employeeNumberId="E-001", hireDate=2025-09-01, salary=5000000.123, workingHours="09:00-17:00", employeePosition="Teknisi", bonus=750000.456</t>
  </si>
  <si>
    <t>users.findUnique sukses; employees.create dipanggil; salary/bonus dibulatkan 2 desimal</t>
  </si>
  <si>
    <t>Objek { id:'emp-1', ... } dikembalikan</t>
  </si>
  <si>
    <t>Selasa, 9/9/2026</t>
  </si>
  <si>
    <t>TC-UNIT-109</t>
  </si>
  <si>
    <t>Negative Case – userId tidak ditemukan → ISEE</t>
  </si>
  <si>
    <t>Service melempar InternalServerErrorException karena user tidak ada</t>
  </si>
  <si>
    <t>Selasa, 9/9/2027</t>
  </si>
  <si>
    <t>TC-UNIT-110</t>
  </si>
  <si>
    <t>Negative Case – Error umum → ISEE</t>
  </si>
  <si>
    <t>Service melempar InternalServerErrorException saat employees.create gagal</t>
  </si>
  <si>
    <t>Selasa, 9/9/2028</t>
  </si>
  <si>
    <t>TC-UNIT-111</t>
  </si>
  <si>
    <t>Positive Case – include _count &amp; user; orderBy employeeNumberId asc</t>
  </si>
  <si>
    <t>Mengembalikan array pegawai dengan relasi user &amp; count</t>
  </si>
  <si>
    <t>Selasa, 9/9/2029</t>
  </si>
  <si>
    <t>TC-UNIT-112</t>
  </si>
  <si>
    <t>Service melempar InternalServerErrorException saat findMany error</t>
  </si>
  <si>
    <t>Selasa, 9/9/2030</t>
  </si>
  <si>
    <t>TC-UNIT-113</t>
  </si>
  <si>
    <t>Positive Case – Dapatkan detail pegawai &amp; relasi</t>
  </si>
  <si>
    <t>id="emp-1"</t>
  </si>
  <si>
    <t>Panggil service.findOne('emp-1')</t>
  </si>
  <si>
    <t>Mengembalikan detail pegawai + relasi Complaints &amp; Announcements</t>
  </si>
  <si>
    <t>Objek dikembalikan; Complaints[0].title='Air Bocor'</t>
  </si>
  <si>
    <t>Selasa, 9/9/2031</t>
  </si>
  <si>
    <t>TC-UNIT-114</t>
  </si>
  <si>
    <t>Service melempar InternalServerErrorException saat findUniqueOrThrow error</t>
  </si>
  <si>
    <t>Selasa, 9/9/2032</t>
  </si>
  <si>
    <t>TC-UNIT-115</t>
  </si>
  <si>
    <t>Positive Case – Berhasil update &amp; twoDecimal dipanggil</t>
  </si>
  <si>
    <t>id="emp-1", dto: employeeNumberId/hireDate/salary/workingHours/employeePosition/bonus</t>
  </si>
  <si>
    <t>Panggil service.update('emp-1', dto)</t>
  </si>
  <si>
    <t>employees.update sukses; salary/bonus dibulatkan 2 desimal</t>
  </si>
  <si>
    <t>Selasa, 9/9/2033</t>
  </si>
  <si>
    <t>TC-UNIT-116</t>
  </si>
  <si>
    <t>Negative Case – Pre-check null → NotFoundException</t>
  </si>
  <si>
    <t>Service melempar NotFoundException jika findUnique null</t>
  </si>
  <si>
    <t>Selasa, 9/9/2034</t>
  </si>
  <si>
    <t>Service melempar NotFoundException jika P2025</t>
  </si>
  <si>
    <t>PrismaClientKnownRequestError terjadi tidak sesuai ekspektasi</t>
  </si>
  <si>
    <t>Selasa, 9/9/2035</t>
  </si>
  <si>
    <t>Service melempar InternalServerErrorException saat update gagal</t>
  </si>
  <si>
    <t>Error terjadi tidak sesuai ekspektasi</t>
  </si>
  <si>
    <t>Selasa, 9/9/2036</t>
  </si>
  <si>
    <t>TC-UNIT-119</t>
  </si>
  <si>
    <t>Positive Case – Hapus pegawai</t>
  </si>
  <si>
    <t>Panggil service.remove('emp-1')</t>
  </si>
  <si>
    <t>Record pegawai terhapus; mengembalikan objek terhapus</t>
  </si>
  <si>
    <t>Return { id:'emp-1' }</t>
  </si>
  <si>
    <t>Selasa, 9/9/2037</t>
  </si>
  <si>
    <t>TC-UNIT-120</t>
  </si>
  <si>
    <t>Selasa, 9/9/2038</t>
  </si>
  <si>
    <t>TC-UNIT-121</t>
  </si>
  <si>
    <t>Selasa, 9/9/2039</t>
  </si>
  <si>
    <t>TC-UNIT-122</t>
  </si>
  <si>
    <t>Service melempar InternalServerErrorException saat delete gagal</t>
  </si>
  <si>
    <t>Selasa, 9/9/2040</t>
  </si>
  <si>
    <t>TC-UNIT-123</t>
  </si>
  <si>
    <t>Family / approval/service</t>
  </si>
  <si>
    <t>Positive Case – tidak ada request PENDING</t>
  </si>
  <si>
    <t>familyMemberId="fm-1", headOfHouseholdId="hoh-1", notes="Mohon disetujui"</t>
  </si>
  <si>
    <t>Record baru dibuat dengan status PENDING</t>
  </si>
  <si>
    <t>Objek { id:'fa-1', status:'PENDING' } dikembalikan</t>
  </si>
  <si>
    <t>Selasa, 9/9/2041</t>
  </si>
  <si>
    <t>TC-UNIT-124</t>
  </si>
  <si>
    <t>Negative Case – duplikat PENDING → BadRequestException</t>
  </si>
  <si>
    <t>Service melempar BadRequestException</t>
  </si>
  <si>
    <t>BadRequestException terjadi sesuai ekspektasi</t>
  </si>
  <si>
    <t>Selasa, 9/9/2042</t>
  </si>
  <si>
    <t>TC-UNIT-125</t>
  </si>
  <si>
    <t>Negative Case – P2003 (FK invalid) → BadRequestException</t>
  </si>
  <si>
    <t>Selasa, 9/9/2043</t>
  </si>
  <si>
    <t>TC-UNIT-126</t>
  </si>
  <si>
    <t>Selasa, 9/9/2044</t>
  </si>
  <si>
    <t>TC-UNIT-127</t>
  </si>
  <si>
    <t>Positive Case – include relasi; orderBy requestedAt desc</t>
  </si>
  <si>
    <t>Mengembalikan array approval beserta familyMember.user &amp; headOfHousehold.user</t>
  </si>
  <si>
    <t>Selasa, 9/9/2045</t>
  </si>
  <si>
    <t>TC-UNIT-128</t>
  </si>
  <si>
    <t>Selasa, 9/9/2046</t>
  </si>
  <si>
    <t>TC-UNIT-129</t>
  </si>
  <si>
    <t>Positive Case – include familyMember &amp; headOfHousehold</t>
  </si>
  <si>
    <t>id="fa-1"</t>
  </si>
  <si>
    <t>Panggil service.findOne('fa-1')</t>
  </si>
  <si>
    <t>Mengembalikan detail approval beserta relasi</t>
  </si>
  <si>
    <t>Objek dikembalikan; id='fa-1'</t>
  </si>
  <si>
    <t>Selasa, 9/9/2047</t>
  </si>
  <si>
    <t>TC-UNIT-130</t>
  </si>
  <si>
    <t>Selasa, 9/9/2048</t>
  </si>
  <si>
    <t>TC-UNIT-131</t>
  </si>
  <si>
    <t>Selasa, 9/9/2049</t>
  </si>
  <si>
    <t>TC-UNIT-132</t>
  </si>
  <si>
    <t>Positive Case – status=APPROVED → respondedAt terisi</t>
  </si>
  <si>
    <t>id="fa-1", dto: status=APPROVED, notes="OK"</t>
  </si>
  <si>
    <t>Panggil service.update('fa-1', dto)</t>
  </si>
  <si>
    <t>Status berubah ke APPROVED; respondedAt &amp; updatedAt terisi; notes tersimpan</t>
  </si>
  <si>
    <t>Objek dikembalikan; status=APPROVED; respondedAt!=null</t>
  </si>
  <si>
    <t>Selasa, 9/9/2050</t>
  </si>
  <si>
    <t>TC-UNIT-133</t>
  </si>
  <si>
    <t>Positive Case – status=PENDING → respondedAt undefined</t>
  </si>
  <si>
    <t>id="fa-1", dto: status=PENDING, notes="Masih dicek"</t>
  </si>
  <si>
    <t>Status tetap PENDING; respondedAt tidak diubah (undefined)</t>
  </si>
  <si>
    <t>Objek dikembalikan; respondedAt=undefined</t>
  </si>
  <si>
    <t>Selasa, 9/9/2051</t>
  </si>
  <si>
    <t>TC-UNIT-134</t>
  </si>
  <si>
    <t>id="fa-1", dto valid</t>
  </si>
  <si>
    <t>Selasa, 9/9/2052</t>
  </si>
  <si>
    <t>TC-UNIT-135</t>
  </si>
  <si>
    <t>Selasa, 9/9/2053</t>
  </si>
  <si>
    <t>TC-UNIT-136</t>
  </si>
  <si>
    <t>Panggil service.remove('fa-1')</t>
  </si>
  <si>
    <t>Return { id:'fa-1' }</t>
  </si>
  <si>
    <t>Selasa, 9/9/2054</t>
  </si>
  <si>
    <t>TC-UNIT-137</t>
  </si>
  <si>
    <t>Selasa, 9/9/2055</t>
  </si>
  <si>
    <t>TC-UNIT-138</t>
  </si>
  <si>
    <t>Selasa, 9/9/2056</t>
  </si>
  <si>
    <t>TC-UNIT-139</t>
  </si>
  <si>
    <t>Family / code/service</t>
  </si>
  <si>
    <t>Positive Case – berhasil create</t>
  </si>
  <si>
    <t>code="FC-ABC123", headOfHousehold="res-1", unitId="unit-1", isActive=true, maxMembers=5</t>
  </si>
  <si>
    <t>Record baru dibuat; relasi headResident &amp; unit terhubung; default isActive/maxMembers terpakai bila null</t>
  </si>
  <si>
    <t>Objek { id:'fc-1', ... } dikembalikan</t>
  </si>
  <si>
    <t>Selasa, 9/9/2057</t>
  </si>
  <si>
    <t>TC-UNIT-140</t>
  </si>
  <si>
    <t>Service melempar InternalServerErrorException saat prisma.familyCodes.create error</t>
  </si>
  <si>
    <t>Selasa, 9/9/2058</t>
  </si>
  <si>
    <t>TC-UNIT-141</t>
  </si>
  <si>
    <t>Positive Case – orderBy createdAt asc, code asc</t>
  </si>
  <si>
    <t>Mengembalikan array code; urut sesuai orderBy</t>
  </si>
  <si>
    <t>Selasa, 9/9/2059</t>
  </si>
  <si>
    <t>TC-UNIT-142</t>
  </si>
  <si>
    <t>Service melempar InternalServerErrorException saat prisma.familyCodes.findMany error</t>
  </si>
  <si>
    <t>Selasa, 9/9/2060</t>
  </si>
  <si>
    <t>TC-UNIT-143</t>
  </si>
  <si>
    <t>Positive Case – include headResident.user &amp; unit</t>
  </si>
  <si>
    <t>id="fc-1"</t>
  </si>
  <si>
    <t>Panggil service.findOne('fc-1')</t>
  </si>
  <si>
    <t>Mengembalikan detail code beserta relasi</t>
  </si>
  <si>
    <t>Objek dikembalikan; id='fc-1'</t>
  </si>
  <si>
    <t>Selasa, 9/9/2061</t>
  </si>
  <si>
    <t>TC-UNIT-144</t>
  </si>
  <si>
    <t>Selasa, 9/9/2062</t>
  </si>
  <si>
    <t>TC-UNIT-145</t>
  </si>
  <si>
    <t>Selasa, 9/9/2063</t>
  </si>
  <si>
    <t>TC-UNIT-146</t>
  </si>
  <si>
    <t>Positive Case – update semua field</t>
  </si>
  <si>
    <t>id="fc-1", dto: code/headOfHousehold/unitId/isActive/maxMembers</t>
  </si>
  <si>
    <t>Panggil service.update('fc-1', dto)</t>
  </si>
  <si>
    <t>Data ter-update; relasi headResident/unit terhubung jika diisi</t>
  </si>
  <si>
    <t>Objek { id:'fc-1', code:'FC-XYZ999', ... } dikembalikan</t>
  </si>
  <si>
    <t>Selasa, 9/9/2064</t>
  </si>
  <si>
    <t>TC-UNIT-147</t>
  </si>
  <si>
    <t>id="fc-1", dto valid</t>
  </si>
  <si>
    <t>Selasa, 9/9/2065</t>
  </si>
  <si>
    <t>TC-UNIT-148</t>
  </si>
  <si>
    <t>Selasa, 9/9/2066</t>
  </si>
  <si>
    <t>TC-UNIT-149</t>
  </si>
  <si>
    <t>Positive Case – hapus code</t>
  </si>
  <si>
    <t>Panggil service.remove('fc-1')</t>
  </si>
  <si>
    <t>Return { id:'fc-1' }</t>
  </si>
  <si>
    <t>Selasa, 9/9/2067</t>
  </si>
  <si>
    <t>TC-UNIT-150</t>
  </si>
  <si>
    <t>Selasa, 9/9/2068</t>
  </si>
  <si>
    <t>TC-UNIT-151</t>
  </si>
  <si>
    <t>Selasa, 9/9/2069</t>
  </si>
  <si>
    <t>TC-UNIT-152</t>
  </si>
  <si>
    <t>Notification / mailer/service</t>
  </si>
  <si>
    <t>sendHeadOfHouseholdVerificationEmail()</t>
  </si>
  <si>
    <t>Positive Case – subject dengan propertyName</t>
  </si>
  <si>
    <t>email="user@example.com", fullName="Budi", verificationCode="123456", unitNumber="A-101", propertyName="My Property", loginUrl, uniqueCode</t>
  </si>
  <si>
    <t>Panggil service.sendHeadOfHouseholdVerificationEmail(data)</t>
  </si>
  <si>
    <t>sendMail dipanggil dengan template 'emailVerification' &amp; subject mengandung 'My Property'; return true</t>
  </si>
  <si>
    <t>Return true</t>
  </si>
  <si>
    <t>Selasa, 9/9/2070</t>
  </si>
  <si>
    <t>TC-UNIT-153</t>
  </si>
  <si>
    <t>Positive Case – fallback subject saat propertyName kosong</t>
  </si>
  <si>
    <t>email="user@example.com", fullName="Budi", verificationCode="123456", unitNumber="A-101", propertyName=undefined, loginUrl, uniqueCode</t>
  </si>
  <si>
    <t>subject fallback ke 'Property Management'; return true</t>
  </si>
  <si>
    <t>Selasa, 9/9/2071</t>
  </si>
  <si>
    <t>TC-UNIT-154</t>
  </si>
  <si>
    <t>Negative Case – error kirim → false</t>
  </si>
  <si>
    <t>Panggil service.sendHeadOfHouseholdVerificationEmail(data) dgn mock sendMail reject</t>
  </si>
  <si>
    <t>Service menangkap error &amp; return false</t>
  </si>
  <si>
    <t>Return false</t>
  </si>
  <si>
    <t>Selasa, 9/9/2072</t>
  </si>
  <si>
    <t>TC-UNIT-155</t>
  </si>
  <si>
    <t>sendDocumentVerificationRequestToAdmin()</t>
  </si>
  <si>
    <t>Positive Case – kirim ke admin</t>
  </si>
  <si>
    <t>adminEmail="admin@example.com", applicantName="Andi", applicantEmail="andi@example.com", documentType="KTP", submissionDate="2025-01-01", reviewUrl</t>
  </si>
  <si>
    <t>Panggil service.sendDocumentVerificationRequestToAdmin(data)</t>
  </si>
  <si>
    <t>sendMail dipanggil dengan template 'reviewDocument'; return true</t>
  </si>
  <si>
    <t>Selasa, 9/9/2073</t>
  </si>
  <si>
    <t>TC-UNIT-156</t>
  </si>
  <si>
    <t>Panggil service.sendDocumentVerificationRequestToAdmin(data) dgn mock sendMail reject</t>
  </si>
  <si>
    <t>Selasa, 9/9/2074</t>
  </si>
  <si>
    <t>TC-UNIT-157</t>
  </si>
  <si>
    <t>sendHeadOfHouseholdWelcomeEmail()</t>
  </si>
  <si>
    <t>Positive Case – kirim welcome</t>
  </si>
  <si>
    <t>Panggil service.sendHeadOfHouseholdWelcomeEmail(data)</t>
  </si>
  <si>
    <t>sendMail template 'emailWelcome'; return true</t>
  </si>
  <si>
    <t>Selasa, 9/9/2075</t>
  </si>
  <si>
    <t>TC-UNIT-158</t>
  </si>
  <si>
    <t>Panggil service.sendHeadOfHouseholdWelcomeEmail(data) dgn mock sendMail reject</t>
  </si>
  <si>
    <t>Selasa, 9/9/2076</t>
  </si>
  <si>
    <t>TC-UNIT-159</t>
  </si>
  <si>
    <t>sendFamilyMemberVerificationEmail()</t>
  </si>
  <si>
    <t>Positive Case – kirim verifikasi anggota</t>
  </si>
  <si>
    <t>Panggil service.sendFamilyMemberVerificationEmail(data)</t>
  </si>
  <si>
    <t>sendMail template 'emailVerification' &amp; context isAdminDriven; return true</t>
  </si>
  <si>
    <t>Selasa, 9/9/2077</t>
  </si>
  <si>
    <t>TC-UNIT-160</t>
  </si>
  <si>
    <t>Panggil service.sendFamilyMemberVerificationEmail(data) dgn mock sendMail reject</t>
  </si>
  <si>
    <t>Selasa, 9/9/2078</t>
  </si>
  <si>
    <t>TC-UNIT-161</t>
  </si>
  <si>
    <t>sendFamilyMemberApprovalNotification()</t>
  </si>
  <si>
    <t>Positive Case – kirim notif persetujuan</t>
  </si>
  <si>
    <t>headOfHouseholdEmail="hoh@example.com", headOfHouseholdName="Pak Joko", familyMemberName="Dina", familyMemberEmail="dina@example.com", uniqueCode, actionUrl</t>
  </si>
  <si>
    <t>Panggil service.sendFamilyMemberApprovalNotification(data)</t>
  </si>
  <si>
    <t>sendMail template 'family-member-approval-notification'; return true</t>
  </si>
  <si>
    <t>Selasa, 9/9/2079</t>
  </si>
  <si>
    <t>TC-UNIT-162</t>
  </si>
  <si>
    <t>Panggil service.sendFamilyMemberApprovalNotification(data) dgn mock sendMail reject</t>
  </si>
  <si>
    <t>Selasa, 9/9/2080</t>
  </si>
  <si>
    <t>TC-UNIT-163</t>
  </si>
  <si>
    <t>sendFamilyMemberWelcomeEmail()</t>
  </si>
  <si>
    <t>Positive Case – kirim welcome anggota</t>
  </si>
  <si>
    <t>Panggil service.sendFamilyMemberWelcomeEmail(data)</t>
  </si>
  <si>
    <t>Selasa, 9/9/2081</t>
  </si>
  <si>
    <t>TC-UNIT-164</t>
  </si>
  <si>
    <t>Panggil service.sendFamilyMemberWelcomeEmail(data) dgn mock sendMail reject</t>
  </si>
  <si>
    <t>Selasa, 9/9/2082</t>
  </si>
  <si>
    <t>TC-UNIT-165</t>
  </si>
  <si>
    <t>sendAdminDrivenHeadOfHouseholdEmail()</t>
  </si>
  <si>
    <t>Positive Case – akun dibuat (head)</t>
  </si>
  <si>
    <t>Panggil service.sendAdminDrivenHeadOfHouseholdEmail(data)</t>
  </si>
  <si>
    <t>sendMail template 'admin-driven-head-household'; return true</t>
  </si>
  <si>
    <t>Selasa, 9/9/2083</t>
  </si>
  <si>
    <t>TC-UNIT-166</t>
  </si>
  <si>
    <t>Panggil service.sendAdminDrivenHeadOfHouseholdEmail(data) dgn mock sendMail reject</t>
  </si>
  <si>
    <t>Selasa, 9/9/2084</t>
  </si>
  <si>
    <t>TC-UNIT-167</t>
  </si>
  <si>
    <t>sendAdminDrivenFamilyMemberEmail()</t>
  </si>
  <si>
    <t>Positive Case – akun dibuat (member)</t>
  </si>
  <si>
    <t>Panggil service.sendAdminDrivenFamilyMemberEmail(data)</t>
  </si>
  <si>
    <t>sendMail template 'admin-driven-family-member'; return true</t>
  </si>
  <si>
    <t>Selasa, 9/9/2085</t>
  </si>
  <si>
    <t>TC-UNIT-168</t>
  </si>
  <si>
    <t>Panggil service.sendAdminDrivenFamilyMemberEmail(data) dgn mock sendMail reject</t>
  </si>
  <si>
    <t>Selasa, 9/9/2086</t>
  </si>
  <si>
    <t>TC-UNIT-169</t>
  </si>
  <si>
    <t>sendFamilyMemberRejectionNotification()</t>
  </si>
  <si>
    <t>Positive Case – dengan alasan custom</t>
  </si>
  <si>
    <t>email="dina@example.com", name="Dina", hohName="Pak Joko", reason="Dokumen kabur"</t>
  </si>
  <si>
    <t>Panggil service.sendFamilyMemberRejectionNotification(email, name, hohName, reason)</t>
  </si>
  <si>
    <t>sendMail template 'rejectApproval' &amp; context.reason=custom; return true</t>
  </si>
  <si>
    <t>Selasa, 9/9/2087</t>
  </si>
  <si>
    <t>TC-UNIT-170</t>
  </si>
  <si>
    <t>Positive Case – alasan default</t>
  </si>
  <si>
    <t>email="dina@example.com", name="Dina", hohName="Pak Joko"</t>
  </si>
  <si>
    <t>Panggil service.sendFamilyMemberRejectionNotification(email, name, hohName)</t>
  </si>
  <si>
    <t>context.reason default 'Tidak memenuhi kriteria keluarga'; return true</t>
  </si>
  <si>
    <t>Selasa, 9/9/2088</t>
  </si>
  <si>
    <t>TC-UNIT-171</t>
  </si>
  <si>
    <t>email="dina@example.com", name="Dina", hohName="Pak Joko", reason="Apapun"</t>
  </si>
  <si>
    <t>Panggil service.sendFamilyMemberRejectionNotification(...) dgn mock sendMail reject</t>
  </si>
  <si>
    <t>Selasa, 9/9/2089</t>
  </si>
  <si>
    <t>TC-UNIT-172</t>
  </si>
  <si>
    <t>sendDocumentApprovalNotification()</t>
  </si>
  <si>
    <t>Positive Case – kirim approval dokumen</t>
  </si>
  <si>
    <t>applicantEmail="andi@example.com", applicantName="Andi", documentType="KTP"</t>
  </si>
  <si>
    <t>Panggil service.sendDocumentApprovalNotification(email, name, type)</t>
  </si>
  <si>
    <t>sendMail template 'document-approval'; return true</t>
  </si>
  <si>
    <t>Selasa, 9/9/2090</t>
  </si>
  <si>
    <t>TC-UNIT-173</t>
  </si>
  <si>
    <t>Panggil service.sendDocumentApprovalNotification(email, name, type) dgn mock sendMail reject</t>
  </si>
  <si>
    <t>Selasa, 9/9/2091</t>
  </si>
  <si>
    <t>TC-UNIT-174</t>
  </si>
  <si>
    <t>generateVerificationCode()</t>
  </si>
  <si>
    <t>Positive Case – format 6 digit</t>
  </si>
  <si>
    <t>Panggil service.generateVerificationCode()</t>
  </si>
  <si>
    <t>Menghasilkan string 6 digit numerik</t>
  </si>
  <si>
    <t>Contoh: '123456'</t>
  </si>
  <si>
    <t>Selasa, 9/9/2092</t>
  </si>
  <si>
    <t>TC-UNIT-175</t>
  </si>
  <si>
    <t>generateUniqueCode()</t>
  </si>
  <si>
    <t>Positive Case – format HH-YYYYMMDD-XXX</t>
  </si>
  <si>
    <t>Panggil service.generateUniqueCode()</t>
  </si>
  <si>
    <t>String format HH-YYYYMMDD-XXX; random 3 digit</t>
  </si>
  <si>
    <t>Contoh: 'HH-20250909-123'</t>
  </si>
  <si>
    <t>Selasa, 9/9/2093</t>
  </si>
  <si>
    <t>TC-UNIT-176</t>
  </si>
  <si>
    <t>Resident / service</t>
  </si>
  <si>
    <t>userId="u-1", emergencyContactName="Ibu Ani", emergencyContactNumber="0812xxxx", movedInDate="2025-01-02", residentStatus="ACTIVE", unitId="unit-1"</t>
  </si>
  <si>
    <t>Record baru dibuat</t>
  </si>
  <si>
    <t>Objek { id:'r-1', ... } dikembalikan</t>
  </si>
  <si>
    <t>Rabu, 10/9/2025</t>
  </si>
  <si>
    <t>TC-UNIT-177</t>
  </si>
  <si>
    <t>Negative Case – userId tidak ditemukan → InternalServerErrorException</t>
  </si>
  <si>
    <t>Panggil service.create(dto) dgn userId tidak ada</t>
  </si>
  <si>
    <t>TC-UNIT-178</t>
  </si>
  <si>
    <t>Negative Case – error umum saat create → InternalServerErrorException</t>
  </si>
  <si>
    <t>Panggil service.create(dto) dgn mock create error</t>
  </si>
  <si>
    <t>TC-UNIT-179</t>
  </si>
  <si>
    <t>Positive Case – data ditemukan (include _count, user; orderBy user.fullName asc)</t>
  </si>
  <si>
    <t>Mengembalikan array data penghuni</t>
  </si>
  <si>
    <t>Objek { id:'r-1', user:{ fullName:'Andi' }, _count:{...} } dikembalikan</t>
  </si>
  <si>
    <t>TC-UNIT-180</t>
  </si>
  <si>
    <t>Negative Case – error umum → InternalServerErrorException</t>
  </si>
  <si>
    <t>Panggil service.findAll() dgn mock error</t>
  </si>
  <si>
    <t>TC-UNIT-181</t>
  </si>
  <si>
    <t>Positive Case – data ditemukan (include user, _count, Payments orderBy asc)</t>
  </si>
  <si>
    <t>id="r-1"</t>
  </si>
  <si>
    <t>Panggil service.findOne('r-1')</t>
  </si>
  <si>
    <t>Mengembalikan detail resident beserta relasi</t>
  </si>
  <si>
    <t>Objek { id:'r-1', user:{ fullName:'Budi' }, Payments:[...] } dikembalikan</t>
  </si>
  <si>
    <t>TC-UNIT-182</t>
  </si>
  <si>
    <t>Panggil service.findOne('missing') dgn mock error</t>
  </si>
  <si>
    <t>TC-UNIT-183</t>
  </si>
  <si>
    <t>Positive Case – berhasil update semua field</t>
  </si>
  <si>
    <t>id="r-1", dto: emergencyContactName, emergencyContactNumber, movedInDate, movedOutDate, residentStatus, unitId</t>
  </si>
  <si>
    <t>Panggil service.update('r-1', dto)</t>
  </si>
  <si>
    <t>Data resident ter-update</t>
  </si>
  <si>
    <t>Objek { id:'r-1', emergencyContactName:'Ibu Beni', ... } dikembalikan</t>
  </si>
  <si>
    <t>TC-UNIT-184</t>
  </si>
  <si>
    <t>Negative Case – pre-check null → NotFoundException</t>
  </si>
  <si>
    <t>id="missing", dto: emergencyContactName, emergencyContactNumber, movedInDate, movedOutDate, residentStatus, unitId</t>
  </si>
  <si>
    <t>Panggil service.update('missing', dto) dgn pre-check null</t>
  </si>
  <si>
    <t>TC-UNIT-185</t>
  </si>
  <si>
    <t>Negative Case – P2025 saat update → NotFoundException</t>
  </si>
  <si>
    <t>Panggil service.update('r-1', dto) dgn mock update P2025</t>
  </si>
  <si>
    <t>TC-UNIT-186</t>
  </si>
  <si>
    <t>Negative Case – error umum saat update → InternalServerErrorException</t>
  </si>
  <si>
    <t>Panggil service.update('r-1', dto) dgn mock error</t>
  </si>
  <si>
    <t>TC-UNIT-187</t>
  </si>
  <si>
    <t>Positive Case – berhasil hapus resident</t>
  </si>
  <si>
    <t>Panggil service.remove('r-1')</t>
  </si>
  <si>
    <t>Data resident terhapus</t>
  </si>
  <si>
    <t>Return { id:'r-1' }</t>
  </si>
  <si>
    <t>TC-UNIT-188</t>
  </si>
  <si>
    <t>Negative Case – findUnique reject dgn NotFoundError → NotFoundException</t>
  </si>
  <si>
    <t>TC-UNIT-189</t>
  </si>
  <si>
    <t>Negative Case – error umum saat delete → InternalServerErrorException</t>
  </si>
  <si>
    <t>Panggil service.remove('r-1') dgn mock delete error</t>
  </si>
  <si>
    <t>TC-UNIT-190</t>
  </si>
  <si>
    <t>OperationalReport / service</t>
  </si>
  <si>
    <t>getComplaintStatistics()</t>
  </si>
  <si>
    <t>Positive Case – filter lengkap (startDate, endDate, unitStatus)</t>
  </si>
  <si>
    <t>startDate="2025-01-01", endDate="2025-01-31", unitStatus="OCCUPIED"</t>
  </si>
  <si>
    <t>Panggil service.getComplaintStatistics(filter)</t>
  </si>
  <si>
    <t>Return totalComplaints + grouping by category &amp; status; where sesuai filter</t>
  </si>
  <si>
    <t>Objek { totalComplaints:10, complaintsByCategory:[...], complaintsByStatus:[...] } dikembalikan</t>
  </si>
  <si>
    <t>–</t>
  </si>
  <si>
    <t>Kamis, 11/9/2026</t>
  </si>
  <si>
    <t>TC-UNIT-191</t>
  </si>
  <si>
    <t>Positive Case – filter parsial (hanya startDate)</t>
  </si>
  <si>
    <t>startDate="2025-02-01"</t>
  </si>
  <si>
    <t>Return object; where.createdAt.gte = 2025-02-01</t>
  </si>
  <si>
    <t>Objek { totalComplaints:2, complaintsByCategory:[], complaintsByStatus:[] } dikembalikan</t>
  </si>
  <si>
    <t>TC-UNIT-192</t>
  </si>
  <si>
    <t>Negative Case – Prisma error diteruskan</t>
  </si>
  <si>
    <t>Panggil service.getComplaintStatistics({}) dgn mock count error</t>
  </si>
  <si>
    <t>Service melempar error (db err)</t>
  </si>
  <si>
    <t>Error (db err) diteruskan sesuai ekspektasi</t>
  </si>
  <si>
    <t>TC-UNIT-193</t>
  </si>
  <si>
    <t>getSecurityReportStatistics()</t>
  </si>
  <si>
    <t>Panggil service.getSecurityReportStatistics(filter)</t>
  </si>
  <si>
    <t>Return totalSecurityReports + grouping by status; where sesuai filter</t>
  </si>
  <si>
    <t>Objek { totalSecurityReports:5, reportsByStatus:[...] } dikembalikan</t>
  </si>
  <si>
    <t>TC-UNIT-194</t>
  </si>
  <si>
    <t>Positive Case – tanpa filter (where kosong)</t>
  </si>
  <si>
    <t>Panggil service.getSecurityReportStatistics({})</t>
  </si>
  <si>
    <t>Return object; where = {}</t>
  </si>
  <si>
    <t>Objek { totalSecurityReports:1, reportsByStatus:[] } dikembalikan</t>
  </si>
  <si>
    <t>TC-UNIT-195</t>
  </si>
  <si>
    <t>Panggil service.getSecurityReportStatistics({}) dgn mock count error</t>
  </si>
  <si>
    <t>Service melempar error (oops)</t>
  </si>
  <si>
    <t>Error (oops) diteruskan sesuai ekspektasi</t>
  </si>
  <si>
    <t>TC-UNIT-196</t>
  </si>
  <si>
    <t>getUnitAndResidentStatistics()</t>
  </si>
  <si>
    <t>Positive Case – kembalikan counts &amp; groupBy unit status</t>
  </si>
  <si>
    <t>Panggil service.getUnitAndResidentStatistics()</t>
  </si>
  <si>
    <t>Return totalResidents + totalUnits + unitsByStatus</t>
  </si>
  <si>
    <t>Objek { totalResidents:20, totalUnits:15, unitsByStatus:[...] } dikembalikan</t>
  </si>
  <si>
    <t>TC-UNIT-197</t>
  </si>
  <si>
    <t>Panggil service.getUnitAndResidentStatistics() dgn mock residents.count error</t>
  </si>
  <si>
    <t>Service melempar error (db fail)</t>
  </si>
  <si>
    <t>Error (db fail) diteruskan sesuai ekspektasi</t>
  </si>
  <si>
    <t>TC-UNIT-198</t>
  </si>
  <si>
    <t>PaymentsReport / service</t>
  </si>
  <si>
    <t>getTotalRevenue()</t>
  </si>
  <si>
    <t>Positive Case – filter lengkap (sum paid &amp; overdue)</t>
  </si>
  <si>
    <t>startDate="2025-01-01", endDate="2025-01-31", status="PAID", paymentType="MAINTENANCE"</t>
  </si>
  <si>
    <t>Panggil service.getTotalRevenue(filter)</t>
  </si>
  <si>
    <t>Return { totalPaid:number, totalOverdue:number }; where mengandung paymentDate(start–end), status, bill.type</t>
  </si>
  <si>
    <t>Objek { totalPaid:1500000, totalOverdue:250000 } dikembalikan</t>
  </si>
  <si>
    <t>Jumat,12/9/2025</t>
  </si>
  <si>
    <t>TC-UNIT-199</t>
  </si>
  <si>
    <t>Positive Case – aggregate null/undefined → fallback 0</t>
  </si>
  <si>
    <t>Panggil service.getTotalRevenue({}) dgn mock _sum.amount null/undefined</t>
  </si>
  <si>
    <t>Return { totalPaid:0, totalOverdue:0 }</t>
  </si>
  <si>
    <t>Objek { totalPaid:0, totalOverdue:0 } dikembalikan</t>
  </si>
  <si>
    <t>TC-UNIT-200</t>
  </si>
  <si>
    <t>Negative Case – error payments.aggregate diteruskan</t>
  </si>
  <si>
    <t>Panggil service.getTotalRevenue({}) dgn mock payments.aggregate throw 'db err'</t>
  </si>
  <si>
    <t>Service melempar error 'db err'</t>
  </si>
  <si>
    <t>TC-UNIT-201</t>
  </si>
  <si>
    <t>Negative Case – error bills.aggregate diteruskan</t>
  </si>
  <si>
    <t>Panggil service.getTotalRevenue({}) setelah payments.aggregate ok namun bills.aggregate throw 'bills err'</t>
  </si>
  <si>
    <t>Service melempar error 'bills err'</t>
  </si>
  <si>
    <t>Error (bills err) diteruskan sesuai ekspektasi</t>
  </si>
  <si>
    <t>TC-UNIT-202</t>
  </si>
  <si>
    <t>getPaymentHistoryByMonth()</t>
  </si>
  <si>
    <t>Positive Case – filter lengkap + orderBy asc</t>
  </si>
  <si>
    <t>Panggil service.getPaymentHistoryByMonth(filter)</t>
  </si>
  <si>
    <t>Return array pembayaran terurut asc; where berisi paymentDate(start–end), status, bill.type</t>
  </si>
  <si>
    <t>Objek [{ paymentDate:'2025-01-02', amount:100000, resident:{user:{fullName:'Budi'}}, bill:{type:'MAINTENANCE'} }] dikembalikan</t>
  </si>
  <si>
    <t>TC-UNIT-203</t>
  </si>
  <si>
    <t>Positive Case – filter parsial (startDate saja)</t>
  </si>
  <si>
    <t>Return array; where.paymentDate.gte=2025-02-01</t>
  </si>
  <si>
    <t>Array [] dikembalikan (sesuai mock)</t>
  </si>
  <si>
    <t>TC-UNIT-204</t>
  </si>
  <si>
    <t>Positive Case – tanpa filter (where={})</t>
  </si>
  <si>
    <t>Panggil service.getPaymentHistoryByMonth({})</t>
  </si>
  <si>
    <t>Return array; where kosong ({})</t>
  </si>
  <si>
    <t>TC-UNIT-205</t>
  </si>
  <si>
    <t>Negative Case – error Prisma diteruskan</t>
  </si>
  <si>
    <t>Panggil service.getPaymentHistoryByMonth({}) dgn mock findMany throw 'fail'</t>
  </si>
  <si>
    <t>Service melempar error 'fail'</t>
  </si>
  <si>
    <t>Error (fail) diteruskan sesuai ekspektasi</t>
  </si>
  <si>
    <t>TC-UNIT-206</t>
  </si>
  <si>
    <t>ExportManageService</t>
  </si>
  <si>
    <t>onModuleInit</t>
  </si>
  <si>
    <t>Positive Case – browser Puppeteer terinisialisasi</t>
  </si>
  <si>
    <t>Mock puppeteer.launch mengembalikan browserMock.
 Langkah Uji: Panggil service.onModuleInit(). Verifikasi launch() dipanggil.</t>
  </si>
  <si>
    <t>Panggil service.onModuleInit(). Verifikasi launch() dipanggil.</t>
  </si>
  <si>
    <t>Browser Puppeteer terinisialisasi (launch() terpanggil).</t>
  </si>
  <si>
    <t>launch() terpanggil → Browser terinisialisasi (sesuai ekspektasi).</t>
  </si>
  <si>
    <t>Jumat,12/9/2026</t>
  </si>
  <si>
    <t>TC-UNIT-207</t>
  </si>
  <si>
    <t>onModuleDestroy</t>
  </si>
  <si>
    <t>Positive Case – browser Puppeteer ditutup</t>
  </si>
  <si>
    <t>Browser sudah di-init.
 Langkah Uji: Panggil service.onModuleDestroy(); verifikasi browser.close() dipanggil.</t>
  </si>
  <si>
    <t>Panggil service.onModuleDestroy(); verifikasi browser.close() dipanggil.</t>
  </si>
  <si>
    <t>Browser ditutup dengan benar.</t>
  </si>
  <si>
    <t>close() terpanggil → Browser ditutup (sesuai ekspektasi).</t>
  </si>
  <si>
    <t>Jumat,12/9/2027</t>
  </si>
  <si>
    <t>TC-UNIT-208</t>
  </si>
  <si>
    <t>generatePdfFromHtml (Positif)</t>
  </si>
  <si>
    <t>Positive Case – berhasil menghasilkan Buffer PDF</t>
  </si>
  <si>
    <t>pageMock.setContent→resolve, pageMock.pdf→Buffer('pdf').
 Langkah Uji: Setelah onModuleInit(), panggil generatePdfFromHtml('&lt;html&gt;&lt;/html&gt;').</t>
  </si>
  <si>
    <t>Setelah onModuleInit(), panggil generatePdfFromHtml('&lt;html&gt;&lt;/html&gt;').</t>
  </si>
  <si>
    <t>Mengembalikan Buffer PDF.</t>
  </si>
  <si>
    <t>Buffer PDF dihasilkan (sesuai ekspektasi).</t>
  </si>
  <si>
    <t>Jumat,12/9/2028</t>
  </si>
  <si>
    <t>TC-UNIT-209</t>
  </si>
  <si>
    <t>loadTemplate (Positif)</t>
  </si>
  <si>
    <t>Positive Case – file template ada → konten dikembalikan</t>
  </si>
  <si>
    <t>fs.readFile → resolve '&lt;!DOCTYPE html&gt;&lt;html&gt;&lt;body&gt;OK&lt;/body&gt;&lt;/html&gt;'.
 Langkah Uji: Panggil loadTemplate('operational-report'); verifikasi fs.readFile dipanggil dg path &amp; 'utf-8'.</t>
  </si>
  <si>
    <t>Panggil loadTemplate('operational-report'); verifikasi fs.readFile dipanggil dg path &amp; 'utf-8'.</t>
  </si>
  <si>
    <t>Mengembalikan konten file template (bukan fallback).</t>
  </si>
  <si>
    <t>Konten HTML dummy dikembalikan (mengandung '&lt;body&gt;OK&lt;/body&gt;').</t>
  </si>
  <si>
    <t>Jumat,12/9/2029</t>
  </si>
  <si>
    <t>loadTemplate (Negatif)</t>
  </si>
  <si>
    <t>Negative Case – file tidak ditemukan → fallback template dipakai</t>
  </si>
  <si>
    <t>fs.readFile → throw Error('not found').
 Langkah Uji: Panggil loadTemplate('operational-report').</t>
  </si>
  <si>
    <t>Panggil loadTemplate('operational-report').</t>
  </si>
  <si>
    <t>Mengembalikan template default HTML (mengandung '&lt;!DOCTYPE html&gt;').</t>
  </si>
  <si>
    <t>Mengembalikan path "...\Documents\\QA\\MyNeighbour\\Bank-End (2)\\my-neighbour-backend\\templates"</t>
  </si>
  <si>
    <t>Jumat,12/9/2030</t>
  </si>
  <si>
    <t>TC-UNIT-211</t>
  </si>
  <si>
    <t>exportOperationalReportToPdf (Positif)</t>
  </si>
  <si>
    <t>Positive Case – export laporan operasional → Buffer PDF</t>
  </si>
  <si>
    <t>Mock OperationalReportService → statistik dummy; puppeteer → Buffer('pdf').
 Langkah Uji: onModuleInit() → exportOperationalReportToPdf({}, '&lt;html&gt;&lt;/html&gt;').</t>
  </si>
  <si>
    <t>onModuleInit() → exportOperationalReportToPdf({}, '&lt;html&gt;&lt;/html&gt;').</t>
  </si>
  <si>
    <t>Buffer PDF berhasil dikembalikan.</t>
  </si>
  <si>
    <t>Jumat,12/9/2031</t>
  </si>
  <si>
    <t>TC-UNIT-212</t>
  </si>
  <si>
    <t>exportOperationalReportToPdf (Negatif)</t>
  </si>
  <si>
    <t>Negative Case – error saat render PDF diteruskan</t>
  </si>
  <si>
    <t>mock generatePdfFromHtml → throw Error('PDF error').
 Langkah Uji: Panggil exportOperationalReportToPdf({}, '&lt;html&gt;&lt;/html&gt;').</t>
  </si>
  <si>
    <t>Panggil exportOperationalReportToPdf({}, '&lt;html&gt;&lt;/html&gt;').</t>
  </si>
  <si>
    <t>Error diteruskan.</t>
  </si>
  <si>
    <t>Error 'PDF error' dilempar sesuai ekspektasi.</t>
  </si>
  <si>
    <t>Jumat,12/9/2032</t>
  </si>
  <si>
    <t>TC-UNIT-213</t>
  </si>
  <si>
    <t>exportPaymentsReportToPdf (Positif)</t>
  </si>
  <si>
    <t>Positive Case – export laporan pembayaran → Buffer PDF</t>
  </si>
  <si>
    <t>getTotalRevenue → {totalPaid:1000,totalOverdue:200}; getPaymentHistoryByMonth → 1 item; puppeteer → Buffer.
 Langkah Uji: onModuleInit() → exportPaymentsReportToPdf({}, '&lt;html&gt;&lt;/html&gt;').</t>
  </si>
  <si>
    <t>000,totalOverdue:200}; getPaymentHistoryByMonth → 1 item; puppeteer → Buffer.
 Langkah Uji: onModuleInit() → exportPaymentsReportToPdf({}, '&lt;html&gt;&lt;/html&gt;').</t>
  </si>
  <si>
    <t>Jumat,12/9/2033</t>
  </si>
  <si>
    <t>TC-UNIT-214</t>
  </si>
  <si>
    <t>exportPaymentsReportToPdf (Negatif)</t>
  </si>
  <si>
    <t>mock generatePdfFromHtml → throw Error('PDF error').
 Langkah Uji: Panggil exportPaymentsReportToPdf({}, '&lt;html&gt;&lt;/html&gt;').</t>
  </si>
  <si>
    <t>Panggil exportPaymentsReportToPdf({}, '&lt;html&gt;&lt;/html&gt;').</t>
  </si>
  <si>
    <t>Jumat,12/9/2034</t>
  </si>
  <si>
    <t>TC-UNIT-215</t>
  </si>
  <si>
    <t>formatPeriod</t>
  </si>
  <si>
    <t>Positive Case – label periode terbentuk benar untuk semua variasi</t>
  </si>
  <si>
    <t>4 variasi (tanpa tanggal, hanya start, hanya end, keduanya).
 Langkah Uji: Panggil formatPeriod pada tiap variasi.</t>
  </si>
  <si>
    <t>Panggil formatPeriod pada tiap variasi.</t>
  </si>
  <si>
    <t>Label periode tepat ('Semua periode', 'Dari ...', 'Sampai ...', 'tgl - tgl').</t>
  </si>
  <si>
    <t>Semua variasi sesuai ekspektasi.</t>
  </si>
  <si>
    <t>Jumat,12/9/2035</t>
  </si>
  <si>
    <t>TC-UNIT-216</t>
  </si>
  <si>
    <t>formatCurrency</t>
  </si>
  <si>
    <t>Positive Case – format Rupiah benar (prefiks ‘Rp’ &amp; pemisah ribuan)</t>
  </si>
  <si>
    <t>0, 5000, 1250000.
 Langkah Uji: Panggil formatCurrency(n) lalu normalisasi whitespace.</t>
  </si>
  <si>
    <t>Panggil formatCurrency(n) lalu normalisasi whitespace.</t>
  </si>
  <si>
    <t>Format Rupiah ('Rp 5.000').</t>
  </si>
  <si>
    <t>Prefiks 'Rp' &amp; pemisah ribuan sesuai lokal.</t>
  </si>
  <si>
    <t>Jumat,12/9/2036</t>
  </si>
  <si>
    <t>TC-UNIT-217</t>
  </si>
  <si>
    <t>groupPaymentsByMonth</t>
  </si>
  <si>
    <t>Positive Case – pengelompokan per bulan &amp; agregasi benar</t>
  </si>
  <si>
    <t>2 pembayaran di bulan sama.
 Langkah Uji: Panggil groupPaymentsByMonth(list).</t>
  </si>
  <si>
    <t>Panggil groupPaymentsByMonth(list).</t>
  </si>
  <si>
    <t>Dikelompokkan per bulan (total, count, average).</t>
  </si>
  <si>
    <t>Perhitungan &amp; grouping sesuai ekspektasi.</t>
  </si>
  <si>
    <t>Jumat,12/9/2037</t>
  </si>
  <si>
    <t>TC-UNIT-218</t>
  </si>
  <si>
    <t>getStatusLabel</t>
  </si>
  <si>
    <t>Positive Case – mapping status → label lokal benar; default ke ‘Lunas’</t>
  </si>
  <si>
    <t>PAID, PENDING, OVERDUE, CANCELLED, UNKNOWN.
 Langkah Uji: Panggil getStatusLabel untuk tiap nilai.</t>
  </si>
  <si>
    <t>Panggil getStatusLabel untuk tiap nilai.</t>
  </si>
  <si>
    <t>Mapping tepat; default 'Lunas'.</t>
  </si>
  <si>
    <t>Mapping sesuai ekspektasi.</t>
  </si>
  <si>
    <t>Jumat,12/9/2038</t>
  </si>
  <si>
    <t>TC-UNIT-219</t>
  </si>
  <si>
    <t>isLatePayment</t>
  </si>
  <si>
    <t>Positive Case – deteksi telat bayar benar (true/false)</t>
  </si>
  <si>
    <t>paymentDate &gt; dueDate (true) &amp; == dueDate (false).
 Langkah Uji: Panggil isLatePayment(payment).</t>
  </si>
  <si>
    <t>Panggil isLatePayment(payment).</t>
  </si>
  <si>
    <t>true saat terlambat; false saat tidak.</t>
  </si>
  <si>
    <t>Sesuai ekspektasi.</t>
  </si>
  <si>
    <t>Jumat,12/9/2039</t>
  </si>
  <si>
    <t>TC-UNIT-220</t>
  </si>
  <si>
    <t>analyzePaymentsByBillType</t>
  </si>
  <si>
    <t>Positive Case – agregasi per tipe tagihan benar</t>
  </si>
  <si>
    <t>1 MAINTENANCE @100.
 Langkah Uji: Panggil analyzePaymentsByBillType(list).</t>
  </si>
  <si>
    <t>Panggil analyzePaymentsByBillType(list).</t>
  </si>
  <si>
    <t>Agregasi per tipe tagihan.</t>
  </si>
  <si>
    <t>Agregasi sesuai ekspektasi.</t>
  </si>
  <si>
    <t>Jumat,12/9/2040</t>
  </si>
  <si>
    <t>TC-UNIT-221</t>
  </si>
  <si>
    <t>analyzePaymentsByMethod</t>
  </si>
  <si>
    <t>Positive Case – agregasi per metode pembayaran benar</t>
  </si>
  <si>
    <t>1 pembayaran metode 'Cash' @100.
 Langkah Uji: Panggil analyzePaymentsByMethod(list).</t>
  </si>
  <si>
    <t>Panggil analyzePaymentsByMethod(list).</t>
  </si>
  <si>
    <t>Agregasi per metode.</t>
  </si>
  <si>
    <t>Jumat,12/9/2041</t>
  </si>
  <si>
    <t>TC-UNIT-222</t>
  </si>
  <si>
    <t>Auth/Jwt</t>
  </si>
  <si>
    <t>JwtStrategyService.validate(payload)</t>
  </si>
  <si>
    <t>Positive Case – user valid</t>
  </si>
  <si>
    <t>Config.get('JWT_SECRET') → 'secret'; users.findUnique → user valid (verified, sessionToken ada).</t>
  </si>
  <si>
    <t>Panggil formatCurrency(n) lalu normalisasi whitespace.
 Panggil groupPaymentsByMonth(list).
 Panggil getStatusLabel untuk tiap nilai.
 Panggil isLatePayment(payment).
 Panggil analyzePaymentsByBillType(list).
 Panggil analyzePaymentsByMethod(list).</t>
  </si>
  <si>
    <t>Return payload dengan sub, username, email, fullName, role, resident (unit).</t>
  </si>
  <si>
    <t>Rabu,17/9/2042</t>
  </si>
  <si>
    <t>TC-UNIT-223</t>
  </si>
  <si>
    <t>Negative Case – user tidak ada (Invalid token)</t>
  </si>
  <si>
    <t>users.findUnique → null</t>
  </si>
  <si>
    <t>Throw UnauthorizedException('Invalid token')</t>
  </si>
  <si>
    <t>TC-UNIT-224</t>
  </si>
  <si>
    <t>Negative Case – email belum terverifikasi</t>
  </si>
  <si>
    <t>users.findUnique → user dengan emailVerificationToken != null</t>
  </si>
  <si>
    <t>Throw UnauthorizedException('Email not verified')</t>
  </si>
  <si>
    <t>TC-UNIT-225</t>
  </si>
  <si>
    <t>Negative Case – session kedaluwarsa</t>
  </si>
  <si>
    <t>users.findUnique → user dengan sessionToken null/undefined</t>
  </si>
  <si>
    <t>Throw UnauthorizedException('Session expired. Please login again.')</t>
  </si>
  <si>
    <t>TC-UNIT-226</t>
  </si>
  <si>
    <t>Positive Case – memastikan query menggunakan payload.sub</t>
  </si>
  <si>
    <t>Spy users.findUnique untuk cek argumen; sub='u-xyz'</t>
  </si>
  <si>
    <t>Prisma dipanggil dengan where:{ id:'u-xyz' } &amp; include Resident.unit, Employee</t>
  </si>
  <si>
    <t>TC-UNIT-227</t>
  </si>
  <si>
    <t>users.findUnique → throw Error('db error')</t>
  </si>
  <si>
    <t>Promise reject dengan Error('db error')</t>
  </si>
  <si>
    <r>
      <rPr>
        <rFont val="Arial"/>
        <color theme="1"/>
        <sz val="8.0"/>
      </rPr>
      <t xml:space="preserve">Note:                                                                                                               Status </t>
    </r>
    <r>
      <rPr>
        <rFont val="Arial"/>
        <b/>
        <color theme="1"/>
        <sz val="8.0"/>
      </rPr>
      <t xml:space="preserve">Pending </t>
    </r>
    <r>
      <rPr>
        <rFont val="Arial"/>
        <color theme="1"/>
        <sz val="8.0"/>
      </rPr>
      <t>menandakan test case belum dapat dilanjutkan karena terhalang bug pada test case lain</t>
    </r>
  </si>
  <si>
    <t>Total Test Case Tested</t>
  </si>
  <si>
    <t>Failed</t>
  </si>
  <si>
    <t>Integration and API Testing</t>
  </si>
  <si>
    <t>Module</t>
  </si>
  <si>
    <t>Method</t>
  </si>
  <si>
    <t>Endpoint</t>
  </si>
  <si>
    <t>Scenario</t>
  </si>
  <si>
    <t>Request Payload / Data Setup</t>
  </si>
  <si>
    <t>Response Payload</t>
  </si>
  <si>
    <t>TC-API-001</t>
  </si>
  <si>
    <t>Auth</t>
  </si>
  <si>
    <t>POST</t>
  </si>
  <si>
    <t>/api/auth/sign-in</t>
  </si>
  <si>
    <t>Pengguna sign-in</t>
  </si>
  <si>
    <t>identifier: Isyawal61104                                                 password: Isyawal-161104</t>
  </si>
  <si>
    <t>{
    "statusCode": 201,
    "message": "Data created successfully.",
    "data": {
        "message": "Sign in successful.",
    }
}</t>
  </si>
  <si>
    <t>TC-API-002</t>
  </si>
  <si>
    <t>/api/auth/sign-up</t>
  </si>
  <si>
    <t>Pengguna sign-up</t>
  </si>
  <si>
    <t>fullName:Dummy Auth
firstName:Dummy
lastName:Auth
username:dauth
password:Password_123
gender:MALE
primaryEmail:yudha.sw2006@gmail.com
residentType:HEAD_HOUSE_HOLD
registrationMethod:USER_DRIVEN
movedInDate:2022-07-20T00:00:00.000Z
unitId:f1982dd7-6287-4e09-b8ab-cfb3270bf707</t>
  </si>
  <si>
    <t>{
    "statusCode": 201,
    "message": "Data created successfully.",
    "data": {
        "message": "Registration successful. Please check your email for verification.",
        "residentFullname": "Dummy Auth",
        "residentType": "HEAD_HOUSE_HOLD",
        "requiresApproval": false
    }
}</t>
  </si>
  <si>
    <t>TC-API-003</t>
  </si>
  <si>
    <t>GET</t>
  </si>
  <si>
    <t>/api/auth/verify-email</t>
  </si>
  <si>
    <t>Sistem melakukan verifikasi email</t>
  </si>
  <si>
    <t>token: 888072</t>
  </si>
  <si>
    <t>{
    "statusCode": 201,
    "message": "Data created successfully.",
    "data": {
        "message": "Email verified successfully. You can now sign in."
    }
}</t>
  </si>
  <si>
    <t>TC-API-004</t>
  </si>
  <si>
    <t>/api/auth/refresh</t>
  </si>
  <si>
    <t>Meminta refresh token</t>
  </si>
  <si>
    <t>"id": "21437491-4a7c-4ed6-b0e6-fec3996f1799",</t>
  </si>
  <si>
    <t>{
    ""statusCode"": 201,
    ""message"": ""Data created successfully."",
    ""data"": {
        "accessToken": "",
        "refreshToken": ""
    }
}</t>
  </si>
  <si>
    <t>TC-API-005</t>
  </si>
  <si>
    <t>/api/auth/profile</t>
  </si>
  <si>
    <t>Mengambil data profile pengguna</t>
  </si>
  <si>
    <t>{
  "statusCode": 200,
  "message": "Data retrieved successfully.",
  "data": {
    "message": "Profile retrieved successfully",
    "user": {
      "id": "21437491-4a7c-4ed6-b0e6-fec3996f1799",
      "fullName": "Ibnu Syawal Aliefian",
      "firstName": "Ibnu",
      "lastName": "Syawal Aliefian",
      "username": "ISyawal161104",
      "dateOfBirth": null,
      "contactNumber": null,
      "primaryEmail": "ibnusaywalaliefian16@gmail.com",
      "secondaryEmail": null
    }
  }
}</t>
  </si>
  <si>
    <t>TC-API-006</t>
  </si>
  <si>
    <t>/api/auth/family-approvals</t>
  </si>
  <si>
    <t>Mengambil data family approvals</t>
  </si>
  <si>
    <t>{
  "statusCode": 200,
  "message": "Data retrieved successfully.",
  "data": {
    "message": "Profile retrieved successfully",
    "user": {
      "id": "21437491-4a7c-4ed6-b0e6-fec3996f1799",
      "fullName": "Ibnu Syawal Aliefian",
      "firstName": "Ibnu",
      "lastName": "Syawal Aliefian",
      "username": "ISyawal161104",
    }
  }
}</t>
  </si>
  <si>
    <t>TC-API-007</t>
  </si>
  <si>
    <t>PATCH</t>
  </si>
  <si>
    <t>Menganti data family approvals</t>
  </si>
  <si>
    <t>{
    "statusCode": 200,
    "message": "Data updated successfully.",
    "data": {
        "id": "f32343eb-ef0d-4a36-8297-746991ebad77",
        "fullName": "Dummy2 CreateResidents",
        "firstName": "Dumm2y",
        "lastName": "CreateResidents",
        "username": "dummy2",
        "dateOfBirth": null,
        "contactNumber": null,
        "primaryEmail": "dummy2@gmail.com",
        "secondaryEmail": "dummy@gmail.com",
        "sessionToken": null,
        "emailVerificationToken": null,
        "passwordResetToken": null,
        "role": "EMPLOYEE",
        "gender": "MALE",
        "createdAt": "2025-09-22T12:57:22.707Z",
        "updatedAt": "2025-09-22T13:23:02.811Z"
    }
}</t>
  </si>
  <si>
    <t>TC-API-008</t>
  </si>
  <si>
    <t>/api/auth/logout</t>
  </si>
  <si>
    <t>Logout dan menghapus session token</t>
  </si>
  <si>
    <t>TC-API-009</t>
  </si>
  <si>
    <t>Users</t>
  </si>
  <si>
    <t>/api/users/app-users</t>
  </si>
  <si>
    <t>Mengambil semua data terkait</t>
  </si>
  <si>
    <t>Ada data pada kolom Users di Database</t>
  </si>
  <si>
    <t>"statusCode": 200,
    "message": "Data retrieved successfully.",
    "data": {
    "fullName": "Dummy2 CreateResidents",
    "firstName": "Dumm2y",
    "lastName": "CreateResidents",
    "username": "dummy2",
    "dateOfBirth": "2007-09-20T00:00:00.000Z",
    "contactNumber": "085699012121",
    "primaryEmail": "dummy2@gmail.com",
    "secondaryEmail": null,
    "password": "Dumm@111",
    "role": "EMPLOYEE",
    "gender": "MALE"
}</t>
  </si>
  <si>
    <t>TC-API-010</t>
  </si>
  <si>
    <t>Menambahkan data baru</t>
  </si>
  <si>
    <t>{
    "fullName": "Dummy2 CreateResidents",
    "firstName": "Dumm2y",
    "lastName": "CreateResidents",
    "username": "dummy2",
    "dateOfBirth": "2007-09-20T00:00:00.000Z",
    "contactNumber": "085699012121",
    "primaryEmail": "dummy2@gmail.com",
    "secondaryEmail": null,
    "password": "Dumm@111",
    "role": "EMPLOYEE",
    "gender": "MALE"
}</t>
  </si>
  <si>
    <t>{
    "statusCode": 201,
    "message": "Data created successfully.",
    "data": {
        "id": "f32343eb-ef0d-4a36-8297-746991ebad77",
        "fullName": "Dummy2 CreateResidents",
        "firstName": "Dumm2y",
        "lastName": "CreateResidents",
        "username": "dummy2",
        "dateOfBirth": null,
        "contactNumber": null,
        "primaryEmail": "dummy2@gmail.com",
        "secondaryEmail": null,
        "sessionToken": null,
        "emailVerificationToken": null,
        "passwordResetToken": null,
        "role": "EMPLOYEE",
        "gender": "MALE",
        "createdAt": "2025-09-22T12:57:22.707Z",
        "updatedAt": "2025-09-22T12:57:22.707Z"
    }
}</t>
  </si>
  <si>
    <t>TC-API-011</t>
  </si>
  <si>
    <t>Mengambil satu data dengan id valid</t>
  </si>
  <si>
    <t>id: f32343eb-ef0d-4a36-8297-746991ebad77</t>
  </si>
  <si>
    <t>{
    "statusCode": 200,
    "message": "Data retrieved successfully.",
    "data": {
        "id": "f32343eb-ef0d-4a36-8297-746991ebad77",
        "fullName": "Dummy2 CreateResidents",
        "firstName": "Dumm2y",
        "lastName": "CreateResidents",
        "username": "dummy2",
        "dateOfBirth": null,
        "contactNumber": null,
        "primaryEmail": "dummy2@gmail.com",
        "secondaryEmail": null,
        "password": "$2b$15$NQhP7rEC7X1Z6UA0dAcEVO4c6L0gemN5GpjzS8MlY16fd5FrqwHC2",
        "sessionToken": null,
        "emailVerificationToken": null,
        "passwordResetToken": null,
        "role": "EMPLOYEE",
        "gender": "MALE",
        "createdAt": "2025-09-22T12:57:22.707Z",
        "updatedAt": "2025-09-22T12:57:22.707Z",
        "Employee": null,
        "Resident": null
    }
}</t>
  </si>
  <si>
    <t>TC-API-012</t>
  </si>
  <si>
    <t>Memperbarui data yang sudah ada</t>
  </si>
  <si>
    <t>id: f32343eb-ef0d-4a36-8297-746991ebad78,                                                                                secondaryEmail: dummy@gmail.com</t>
  </si>
  <si>
    <t>TC-API-013</t>
  </si>
  <si>
    <t>DELETE</t>
  </si>
  <si>
    <t>Menghapus data dengan id valid</t>
  </si>
  <si>
    <t>{
    "statusCode": 200,
    "message": "Data was successfully deleted.",
    "data": {
        "id": "f32343eb-ef0d-4a36-8297-746991ebad77",
        "fullName": "Dummy2 CreateResidents",
        "firstName": "Dumm2y",
        "lastName": "CreateResidents",
        "username": "dummy2",
        "dateOfBirth": null,
        "contactNumber": null,
        "primaryEmail": "dummy2@gmail.com",
        "secondaryEmail": "dummy@gmail.com",
        "password": "$2b$15$NQhP7rEC7X1Z6UA0dAcEVO4c6L0gemN5GpjzS8MlY16fd5FrqwHC2",
        "sessionToken": null,
        "emailVerificationToken": null,
        "passwordResetToken": null,
        "role": "EMPLOYEE",
        "gender": "MALE",
        "createdAt": "2025-09-22T12:57:22.707Z",
        "updatedAt": "2025-09-22T13:23:02.811Z"
    }
}</t>
  </si>
  <si>
    <t>TC-API-014</t>
  </si>
  <si>
    <t>Negative Case</t>
  </si>
  <si>
    <t>Data yang dikirimkan tidak lengkap</t>
  </si>
  <si>
    <t>{
    "fullName": "Dummy2 CreateResidents",
    "firstName": "Dumm2y",
    "username": "dummy2",
    "dateOfBirth": "2007-09-20T00:00:00.000Z",
    "contactNumber": "085699012121",
    "primaryEmail": "dummy2@gmail.com",
    "secondaryEmail": null,
    "password": "Dumm@111",
    "role": "EMPLOYEE",
    "gender": "MALE"
}</t>
  </si>
  <si>
    <t>{
    "message": "Input Validation Is Failed",
    "errors": [
        {
            "property": "lastName",
            "errors": [
                "Nama belakang tidak boleh kosong",
                "Nama belakang harus berupa teks"
            ]
        }
    ]
}</t>
  </si>
  <si>
    <t>id yang dimasukan tidak ditemukan</t>
  </si>
  <si>
    <t>TC-API-016</t>
  </si>
  <si>
    <t>{
    "message": "Pengguna Aplikasi dengan id: f32343eb-ef0d-4a36-8297-746991ebad71 tidak ditemukan",
    "error": "Not Found",
    "statusCode": 404
}</t>
  </si>
  <si>
    <t>TC-API-017</t>
  </si>
  <si>
    <t>{
    "message": "Resident dengan id: f32343eb-ef0d-4a36-8297-746991ebad71 tidak ditemukan",
    "error": "Not Found",
    "statusCode": 404
}</t>
  </si>
  <si>
    <t>TC-API-018</t>
  </si>
  <si>
    <t>Residents</t>
  </si>
  <si>
    <t>/api/users/resident</t>
  </si>
  <si>
    <t>Ada data pada kolom Residents di database</t>
  </si>
  <si>
    <t>{
    "statusCode": 200,
    "message": "Data retrieved successfully.",
    "data": [
        {
            "id": "9103011f-d9f9-4d8e-8aac-efe18ad52698",
            "userId": "1f1f629d-34da-458a-8333-f6aba353180a",
            "emergencyContactName": "Susi Lestari",
            "emergencyContactNumber": "+6289876543210",
            "movedInDate": "2022-07-20T00:00:00.000Z",
            "movedOutDate": "2025-01-10T00:00:00.000Z",
            "familyCode": null,
            "residentStatus": "HEAD_HOUSE_HOLD",
            "unitId": null,
            "kprPaymentAmount": null,
            "kprDueDate": null,
            "isKprPaid": false,
            "registrationStatus": "PENDING",
            "registrationMethod": "USER_DRIVEN",
            "approvedBy": null,
            "approvalDate": null,
            "rejectionReason": null,
            "pendingApproval": false,
            "approvedByHeadOfHousehold": null,
            "createdAt": "2025-09-20T08:16:07.354Z",
            "updatedAt": "2025-09-20T08:24:55.845Z",
            "_count": {
                "Complaints": 0,
                "Payments": 0
            },
            "user": {
                "fullName": "Dummy CreateResidents",
                "firstName": "Dummy",
                "lastName": "CreateResidents",
                "contactNumber": null,
                "dateOfBirth": null,
                "gender": "NONE",
                "primaryEmail": "dummy1@gmail.com"
            }
        }
    ]
}</t>
  </si>
  <si>
    <t>TC-API-019</t>
  </si>
  <si>
    <t>{
    "userId": "1f1f629d-34da-458a-8333-f6aba353180a",
    "emergencyContactName": "DummyCR",
    "emergencyContactNumber": "+6289876543210",
    "movedInDate": "2022-07-20T00:00:00.000Z",
    "movedOutDate": "2025-01-10T00:00:00.000Z",
    "residentStatus": "HEAD_HOUSE_HOLD"
}</t>
  </si>
  <si>
    <t>{
    "statusCode": 201,
    "message": "Data created successfully.",
    "data": {
        "id": "f39e0de6-dfb3-47d9-979f-b451cd27fb14",
        "userId": "1f1f629d-34da-458a-8333-f6aba353180a",
        "emergencyContactName": "DummyCR",
        "emergencyContactNumber": "+6289876543210",
        "movedInDate": "2022-07-20T00:00:00.000Z",
        "movedOutDate": "2025-01-10T00:00:00.000Z",
        "familyCode": null,
        "residentStatus": "HEAD_HOUSE_HOLD",
        "unitId": null,
        "kprPaymentAmount": null,
        "kprDueDate": null,
        "isKprPaid": false,
        "registrationStatus": "PENDING",
        "registrationMethod": "USER_DRIVEN",
        "approvedBy": null,
        "approvalDate": null,
        "rejectionReason": null,
        "pendingApproval": false,
        "approvedByHeadOfHousehold": null,
        "createdAt": "2025-09-22T14:19:22.884Z",
        "updatedAt": "2025-09-22T14:19:22.884Z"
    }
}</t>
  </si>
  <si>
    <t>TC-API-020</t>
  </si>
  <si>
    <t>id: f39e0de6-dfb3-47d9-979f-b451cd27fb14</t>
  </si>
  <si>
    <t>{
    "statusCode": 200,
    "message": "Data retrieved successfully.",
    "data": {
        "id": "f39e0de6-dfb3-47d9-979f-b451cd27fb14",
        "userId": "1f1f629d-34da-458a-8333-f6aba353180a",
        "emergencyContactName": "DummyCR",
        "emergencyContactNumber": "+6289876543210",
        "movedInDate": "2022-07-20T00:00:00.000Z",
        "movedOutDate": "2025-01-10T00:00:00.000Z",
        "familyCode": null,
        "residentStatus": "HEAD_HOUSE_HOLD",
        "unitId": null,
        "kprPaymentAmount": null,
        "kprDueDate": null,
        "isKprPaid": false,
        "registrationStatus": "PENDING",
        "registrationMethod": "USER_DRIVEN",
        "approvedBy": null,
        "approvalDate": null,
        "rejectionReason": null,
        "pendingApproval": false,
        "approvedByHeadOfHousehold": null,
        "createdAt": "2025-09-22T14:19:22.884Z",
        "updatedAt": "2025-09-22T14:19:22.884Z",
        "_count": {
            "Complaints": 0,
            "Payments": 0
        },
        "user": {
            "fullName": "Dummy CreateResidents",
            "firstName": "Dummy",
            "lastName": "CreateResidents",
            "contactNumber": null,
            "dateOfBirth": null,
            "gender": "NONE",
            "primaryEmail": "dummy1@gmail.com"
        },
        "Payments": []
    }
}</t>
  </si>
  <si>
    <t>TC-API-021</t>
  </si>
  <si>
    <t>id: f39e0de6-dfb3-47d9-979f-b451cd27fb15                           emergencyContactName:DummyCR2
emergencyContactNumber:081212121212
movedInDate:2023-07-20T00:00:00.000Z
movedOutDate:2024-08-20T00:00:00.000Z
residentStatus:FAMILY_MEMBERS</t>
  </si>
  <si>
    <t>{
    "statusCode": 200,
    "message": "Data updated successfully.",
    "data": {
        "id": "f39e0de6-dfb3-47d9-979f-b451cd27fb14",
        "userId": "1f1f629d-34da-458a-8333-f6aba353180a",
        "emergencyContactName": "DummyCR2",
        "emergencyContactNumber": "081212121212",
        "movedInDate": "2023-07-20T00:00:00.000Z",
        "movedOutDate": "2024-08-20T00:00:00.000Z",
        "familyCode": null,
        "residentStatus": "FAMILY_MEMBERS",
        "unitId": null,
        "kprPaymentAmount": null,
        "kprDueDate": null,
        "isKprPaid": false,
        "registrationStatus": "PENDING",
        "registrationMethod": "USER_DRIVEN",
        "approvedBy": null,
        "approvalDate": null,
        "rejectionReason": null,
        "pendingApproval": false,
        "approvedByHeadOfHousehold": null,
        "createdAt": "2025-09-22T14:19:22.884Z",
        "updatedAt": "2025-09-22T14:25:26.056Z"
    }
}</t>
  </si>
  <si>
    <t>TC-API-022</t>
  </si>
  <si>
    <t>{
    "statusCode": 200,
    "message": "Data was successfully deleted.",
    "data": {
        "id": "f39e0de6-dfb3-47d9-979f-b451cd27fb14",
        "userId": "1f1f629d-34da-458a-8333-f6aba353180a",
        "emergencyContactName": "DummyCR2",
        "emergencyContactNumber": "081212121212",
        "movedInDate": "2023-07-20T00:00:00.000Z",
        "movedOutDate": "2024-08-20T00:00:00.000Z",
        "familyCode": null,
        "residentStatus": "FAMILY_MEMBERS",
        "unitId": null,
        "kprPaymentAmount": null,
        "kprDueDate": null,
        "isKprPaid": false,
        "registrationStatus": "PENDING",
        "registrationMethod": "USER_DRIVEN",
        "approvedBy": null,
        "approvalDate": null,
        "rejectionReason": null,
        "pendingApproval": false,
        "approvedByHeadOfHousehold": null,
        "createdAt": "2025-09-22T14:19:22.884Z",
        "updatedAt": "2025-09-22T14:25:26.056Z"
    }
}</t>
  </si>
  <si>
    <t>TC-API-023</t>
  </si>
  <si>
    <t xml:space="preserve">GET </t>
  </si>
  <si>
    <t>Tidak ada data di Database</t>
  </si>
  <si>
    <t>{
    "statusCode": 200,
    "message": "Data retrieved successfully.",
    "data": []
}</t>
  </si>
  <si>
    <t>TC-API-024</t>
  </si>
  <si>
    <t>{
    "userId": "1f1f629d-34da-458a-8333-f6aba353180a",
    "emergencyContactName": "DummyCR",
    "emergencyContactNumber": "+6289876543210",
    "movedInDate": "2022-07-20T00:00:00.000Z",
    "movedOutDate": "2025-01-10T00:00:00.000Z"
}</t>
  </si>
  <si>
    <t>{
    "message": "Input Validation Is Failed",
    "errors": [
        {
            "property": "residentStatus",
            "errors": [
                "Status penghuni tidak valid. Pilihan: HEAD_HOUSE_HOLD, FAMILY_MEMBERS",
                "Status penghuni tidak boleh kosong."
            ]
        }
    ]
}</t>
  </si>
  <si>
    <t>{
    "message": "Terjadi Kesalahan Saat Mendapatkan Data Penghuni",
    "error": "Internal Server Error",
    "statusCode": 500
}</t>
  </si>
  <si>
    <t>TC-API-026</t>
  </si>
  <si>
    <t>{
    "message": "Penghuni dengan id: 9345d3d8-0a64-47d4-96a7-c04a0fa9b6e3 tidak ditemukan",
    "error": "Not Found",
    "statusCode": 404
}</t>
  </si>
  <si>
    <t>{
    "message": "Terjadi Kesalahan Saat Menghapus Data Penghuni",
    "error": "Internal Server Error",
    "statusCode": 500
}</t>
  </si>
  <si>
    <t>TC-API-028</t>
  </si>
  <si>
    <t>Employees</t>
  </si>
  <si>
    <t>/api/users/employee</t>
  </si>
  <si>
    <t>{
    "statusCode": 200,
    "message": "Data retrieved successfully.",
    "data": [
        {
            "id": "3ff183f1-7297-4958-901a-f9ccfe8bc1c2",
            "userId": "304435c2-d0cd-4e9c-b057-43da2547f173",
            "employeeNumberId": "EMP-1001",
            "hireDate": "1929-01-20T00:00:00.000Z",
            "employeePosition": "ADMIN",
            "workingHours": 23,
            "salary": 850000000,
            "bonus": 120000000,
            "createdAt": "2025-09-19T13:29:47.073Z",
            "updatedAt": "2025-09-19T13:29:47.073Z",
            "_count": {
                "Announcements": 1,
                "Bills": 0,
                "Payments": 0,
                "Complaints": 0,
                "SecurityReports": 0
            },
            "user": {
                "fullName": "Eko Prasetyo",
                "firstName": "Eko",
                "lastName": "Prasetyo",
                "contactNumber": null,
                "dateOfBirth": null,
                "gender": "MALE",
                "primaryEmail": "eko.prasetyo@gmail.com"
            }
        },
        }
    ]
}</t>
  </si>
  <si>
    <t>TC-API-029</t>
  </si>
  <si>
    <t xml:space="preserve">{
    "userId": "304435c2-d0cd-4e9c-b057-43da2547f173",
    "employeeNumberId": "EMP-1001",
    "hireDate": "1929-01-20",
    "employeePosition": "ADMIN",
    "workingHours": 23,
    "salary": 8500000,
    "bonus": 1200000
  } </t>
  </si>
  <si>
    <t>{
    "statusCode": 201,
    "message": "Data created successfully.",
    "data": {
        "id": "9efc55ff-2288-4948-9e54-dd5018dbdf4e",
        "userId": "304435c2-d0cd-4e9c-b057-43da2547f173",
        "employeeNumberId": "EMP-1001",
        "hireDate": "1929-01-20T00:00:00.000Z",
        "employeePosition": "ADMIN",
        "workingHours": 23,
        "salary": 850000000,
        "bonus": 120000000,
        "createdAt": "2025-09-22T14:34:41.336Z",
        "updatedAt": "2025-09-22T14:34:41.336Z"
    }
}</t>
  </si>
  <si>
    <t>TC-API-030</t>
  </si>
  <si>
    <t>id: 9efc55ff-2288-4948-9e54-dd5018dbdf4e</t>
  </si>
  <si>
    <t>{
    "statusCode": 200,
    "message": "Data retrieved successfully.",
    "data": {
        "id": "9efc55ff-2288-4948-9e54-dd5018dbdf4e",
        "userId": "304435c2-d0cd-4e9c-b057-43da2547f173",
        "employeeNumberId": "EMP-1001",
        "hireDate": "1929-01-20T00:00:00.000Z",
        "employeePosition": "ADMIN",
        "workingHours": 23,
        "salary": 850000000,
        "bonus": 120000000,
        "createdAt": "2025-09-22T14:34:41.336Z",
        "updatedAt": "2025-09-22T14:34:41.336Z",
        "_count": {
            "Announcements": 0,
            "Bills": 0,
            "Payments": 0,
            "Complaints": 0,
            "SecurityReports": 0
        },
        "user": {
            "fullName": "Eko Prasetyo",
            "firstName": "Eko",
            "lastName": "Prasetyo",
            "contactNumber": null,
            "dateOfBirth": null,
            "gender": "MALE",
            "primaryEmail": "eko.prasetyo@gmail.com"
        },
        "Complaints": [],
        "Announcements": []
    }
}</t>
  </si>
  <si>
    <t>TC-API-032</t>
  </si>
  <si>
    <t>{
    "statusCode": 200,
    "message": "Data was successfully deleted.",
    "data": {
        "id": "9efc55ff-2288-4948-9e54-dd5018dbdf4e",
        "userId": "304435c2-d0cd-4e9c-b057-43da2547f173",
        "employeeNumberId": "EMP-1001",
        "hireDate": "1929-01-20T00:00:00.000Z",
        "employeePosition": "ADMIN",
        "workingHours": 23,
        "salary": 850000000,
        "bonus": 120000000,
        "createdAt": "2025-09-22T14:34:41.336Z",
        "updatedAt": "2025-09-22T14:34:41.336Z"
    }
}</t>
  </si>
  <si>
    <t>TC-API-033</t>
  </si>
  <si>
    <t xml:space="preserve">{
    "userId": "304435c2-d0cd-4e9c-b057-43da2547f173",
    "hireDate": "1929-01-20",
    "employeePosition": "ADMIN",
    "workingHours": 23,
    "salary": 8500000,
    "bonus": 1200000
  } </t>
  </si>
  <si>
    <t>{
    "message": "Input Validation Is Failed",
    "errors": [
        {
            "property": "employeeNumberId",
            "errors": [
                "Nomor identitas Pegawai tidak boleh kosong.",
                "Nomor identitas Pegawai harus berupa teks."
            ]
        }
    ]
}</t>
  </si>
  <si>
    <t>TC-API-035</t>
  </si>
  <si>
    <t>{
    "message": "Pegawai dengan id: 68896ddf-bb19-4286-a2cd-4750de3b70d1 tidak ditemukan",
    "error": "Not Found",
    "statusCode": 404
}</t>
  </si>
  <si>
    <t>TC-API-036</t>
  </si>
  <si>
    <t>TC-API-037</t>
  </si>
  <si>
    <t>Announcements</t>
  </si>
  <si>
    <t>/api/communications/announcements</t>
  </si>
  <si>
    <t>High</t>
  </si>
  <si>
    <t>title:PEMADAMAN LISTRIK
content:Jumat, 19/9/2025 - Kepada penghuni yang terhormat, akan diadakan pemadaman listrik pada sabtu, 20/9/2025 yang akan berlangsung sekitar 30 menit, terima kasih.
publishDate:2025-09-19
//expiryDate:2025-11-19
employeeId:68896ddf-bb19-4286-a2cd-4750de3b70d0</t>
  </si>
  <si>
    <t>TC-API-039</t>
  </si>
  <si>
    <t>TC-API-040</t>
  </si>
  <si>
    <t>TC-API-041</t>
  </si>
  <si>
    <t>TC-API-042</t>
  </si>
  <si>
    <t>Forum Post</t>
  </si>
  <si>
    <t>/api/communications/forum-post</t>
  </si>
  <si>
    <t>TC-API-043</t>
  </si>
  <si>
    <t>TC-API-044</t>
  </si>
  <si>
    <t>TC-API-045</t>
  </si>
  <si>
    <t>TC-API-046</t>
  </si>
  <si>
    <t>TC-API-047</t>
  </si>
  <si>
    <t>Forum Comment</t>
  </si>
  <si>
    <t>TC-API-048</t>
  </si>
  <si>
    <t>TC-API-049</t>
  </si>
  <si>
    <t>TC-API-050</t>
  </si>
  <si>
    <t>TC-API-051</t>
  </si>
  <si>
    <t>TC-API-052</t>
  </si>
  <si>
    <t>Residental Unit</t>
  </si>
  <si>
    <t>TC-API-053</t>
  </si>
  <si>
    <t>TC-API-054</t>
  </si>
  <si>
    <t>TC-API-055</t>
  </si>
  <si>
    <t>TC-API-056</t>
  </si>
  <si>
    <t>TC-API-057</t>
  </si>
  <si>
    <t>Complaint</t>
  </si>
  <si>
    <t>TC-API-058</t>
  </si>
  <si>
    <t>TC-API-059</t>
  </si>
  <si>
    <t>TC-API-060</t>
  </si>
  <si>
    <t>TC-API-061</t>
  </si>
  <si>
    <t>TC-API-062</t>
  </si>
  <si>
    <t>Security</t>
  </si>
  <si>
    <t>TC-API-063</t>
  </si>
  <si>
    <t>TC-API-064</t>
  </si>
  <si>
    <t>TC-API-065</t>
  </si>
  <si>
    <t>TC-API-066</t>
  </si>
  <si>
    <t>TC-API-067</t>
  </si>
  <si>
    <t>Operational-report</t>
  </si>
  <si>
    <t>TC-API-068</t>
  </si>
  <si>
    <t>TC-API-069</t>
  </si>
  <si>
    <t>TC-API-070</t>
  </si>
  <si>
    <t>TC-API-071</t>
  </si>
  <si>
    <t>TC-API-072</t>
  </si>
  <si>
    <t>Payments-report</t>
  </si>
  <si>
    <t>TC-API-073</t>
  </si>
  <si>
    <t>TC-API-074</t>
  </si>
  <si>
    <t>TC-API-075</t>
  </si>
  <si>
    <t>TC-API-076</t>
  </si>
  <si>
    <r>
      <rPr>
        <rFont val="Arial"/>
        <color theme="1"/>
        <sz val="8.0"/>
      </rPr>
      <t xml:space="preserve">Note:                                                                                                                                                                              Status Fail menandakan ada bug saat  dilakukan proses testing, detail bug dapat ditemukan pada </t>
    </r>
    <r>
      <rPr>
        <rFont val="Arial"/>
        <b/>
        <color theme="1"/>
        <sz val="8.0"/>
      </rPr>
      <t>Bug Log</t>
    </r>
  </si>
  <si>
    <t>System Testing</t>
  </si>
  <si>
    <t>Test Scenario</t>
  </si>
  <si>
    <t>Precondition</t>
  </si>
  <si>
    <t>penghuni (Kepada keluarga) registrasi mandiri dan admin setujui</t>
  </si>
  <si>
    <t>penghuni temah membeli unit hunian</t>
  </si>
  <si>
    <t>1) Penghuni pilih menu “Registrasi pembelian awal”
2) Penghuni pilih “registrasi mandiri”
3) Penghuni isi form &amp; unggah dokumen
4) Sistem lakukan validasi awal (format/ukuran file/kelengkapan)
5) Admin login &amp; buka antrian verifikasi
6) Admin verifikasi dokumen → setujui
7) Sistem kirim email kode verifikasi ke penghuni
8) Penghuni input kode verifikasi di sistem</t>
  </si>
  <si>
    <t>- Data registrasi tersimpan dan masuk antrian verifikasi admin
- Admin melihat detail &amp; riwayat dokumen, status berubah Approved
- Email terkirim ke penghuni berisi kode verifikasi
- Kode benar → Household Code unik terbuat &amp; ditampilkan; status registrasi Completed; tercatat di riwayat</t>
  </si>
  <si>
    <t>penghuni (Kepada keluarga) registrasi mandiri dan admin tolak</t>
  </si>
  <si>
    <t>1) Penghuni pilih menu “Registrasi pembelian awal”
2) Penghuni pilih “registrasi mandiri”
3) Penghuni isi form &amp; unggah dokumen
4) Sistem lakukan validasi awal (format/ukuran file/kelengkapan)
5) Admin login &amp; buka antrian verifikasi
6) Admin verifikasi dokumen → tidak setujui</t>
  </si>
  <si>
    <t>penghuni (Kepada keluarga) registrasi melalui admin</t>
  </si>
  <si>
    <t>1) Penghuni pilih menu “Registrasi pembelian awal”
2) Penghuni pilih “registrasi mandiri”                                                   
3) Admin input data penghuni              
4) Sistem lakukan validasi awal (format/ukuran file/kelengkapan)
5) Sistem kirim email kode verifikasi ke penghuni
6) Penghuni input kode verifikasi di sistem</t>
  </si>
  <si>
    <t>- Data registrasi tersimpan
- Admin melihat detail &amp; riwayat dokumen, status berubah Approved
- Email terkirim ke penghuni berisi kode verifikasi
- Kode benar → Household Code unik terbuat &amp; ditampilkan; status registrasi Completed; tercatat di riwayat</t>
  </si>
  <si>
    <t>penghuni (Family member) registrasi dan disetujui penghuni (Kepala keluarga)</t>
  </si>
  <si>
    <t>Penghuni (family member) /admin telah login ke system RHMS dan penghuni (Head of HouseHold) telah registrasi dan telah memiliki Head of HouseHold code.</t>
  </si>
  <si>
    <t>1) Penghuni pilih menu “Registrasi Anggota Keluarga”
2) Penghuni pilih “registrasi mandiri”
3) Penghuni isi form dan masukan household code
4) Sistem lakukan validasi awal (format/ukuran file/kelengkapan)
5) Admin login &amp; buka antrian verifikasi
6) Admin verifikasi dokumen → setujui
7) Penghuni (Kepala keluarga) mendapat notif dan menyetujui</t>
  </si>
  <si>
    <t xml:space="preserve">- Data registrasi tersimpan
- Penghuni (Kepala keluarga) menerima notifikasi persetujuan
- Penghui (family member) dan admin menertima notifikasi sukses   - Penghui (family member) memiliki akun aktif
</t>
  </si>
  <si>
    <t>penghuni (Family member) registrasi dan tidak disetujui penghuni (Kepala keluarga)</t>
  </si>
  <si>
    <t>1) Penghuni pilih menu “Registrasi Anggota Keluarga”
2) Penghuni pilih “registrasi mandiri”
3) Penghuni isi form dan masukan household code
4) Sistem lakukan validasi awal (format/ukuran file/kelengkapan)
5) Admin login &amp; buka antrian verifikasi
6) Admin verifikasi dokumen → setujui
7) Penghuni (Kepala keluarga) mendapat notif dan tidak menyetujui</t>
  </si>
  <si>
    <t xml:space="preserve">- Data registrasi tersimpan
- Penghuni (Kepala keluarga) menerima notifikasi persetujuan
- Penghui (family member) menertima notifikasi penolakan                 
</t>
  </si>
  <si>
    <t>penghuni login</t>
  </si>
  <si>
    <t>penghuni telah memiliki akun</t>
  </si>
  <si>
    <t xml:space="preserve">1) Actor mengakses website melalui browser, dan masuk ke halaman login
2) Actor menginput username dan password
</t>
  </si>
  <si>
    <t xml:space="preserve">- Data tervalidasi sesuai profil tersimpan
- Masuk ke dashboard actor terkait             
</t>
  </si>
  <si>
    <t>pengelola login</t>
  </si>
  <si>
    <t>pengelola telah memiliki akun</t>
  </si>
  <si>
    <t>admin login</t>
  </si>
  <si>
    <t>admin telah memiliki akun</t>
  </si>
  <si>
    <t>satpan login</t>
  </si>
  <si>
    <t>satpan telah memiliki akun</t>
  </si>
  <si>
    <t>Low</t>
  </si>
  <si>
    <t xml:space="preserve">penghuni melihat dan memperbarui informasi profil peribadi serta unit hunian </t>
  </si>
  <si>
    <t>penghuni telah login ke sistem</t>
  </si>
  <si>
    <t>1) Penghuni pilih menu “Profil Penghuni”
2) Penghuni pilih opsi edit profil penghuni
3) Penghuni mengganti data yang ingin diperbarui</t>
  </si>
  <si>
    <t xml:space="preserve">- Data profil tertampil pada profil penghuni
- Data baru penghuni ter-update             
</t>
  </si>
  <si>
    <t>penghuni melakukan pembayaran iuran melalaui metode tunai</t>
  </si>
  <si>
    <t>penghuni memiliki tagihan dan telah login ke sistem</t>
  </si>
  <si>
    <t>1) Penghuni pilih menu “Pembayaran”
2) Penghuni pilih metode pembayaran tunai</t>
  </si>
  <si>
    <t xml:space="preserve">- Tagihan terbayar dan tercatat sudah terbayar di sistem        
</t>
  </si>
  <si>
    <t>penghuni melakukan pembayaran iuran melalaui metode digital</t>
  </si>
  <si>
    <t>1) Penghuni pilih menu “Pembayaran”
2) Penghuni pilih metode pembayaran digital
3) Admin memverifikasi pembayaran</t>
  </si>
  <si>
    <t>penghuni melaporkan kerusakan fasilitasdengan klasifikasi ringan</t>
  </si>
  <si>
    <t xml:space="preserve">1) Penghuni mengisi form keluhan
2) Admin menerima keluhan, mengklasifikasikan keluhan ke ringan, dan memberikan panduan perbaikan
3) Penghuni menerima panduan perbaikan </t>
  </si>
  <si>
    <t>- Keluhan masuk ke admin
- Admin berhasil mengklasifikasi keluhan ke ringan                                                  - Penghuni dapat melihat panduan perbaikan</t>
  </si>
  <si>
    <t>penghuni melaporkan kerusakan fasilitas dengan klasifikasi ringan</t>
  </si>
  <si>
    <t>1) Penghuni mengisi form keluhan
2) Admin menerima keluhan, mengklasifikasikan keluhan ke berat, dan memberikan kontak teknisi
3) Penghuni kontak teknisi, dan melihat status pengerjaan</t>
  </si>
  <si>
    <t>- Keluhan masuk ke admin
- Admin berhasil mengklasifikasi keluhan ke berat, dan memberikan kontak teknisi                                                                                                       - Penghuni dapat melihat status pengerjaan</t>
  </si>
  <si>
    <t>admin membuat pengumuman di forum komunikasi</t>
  </si>
  <si>
    <t>admin telah login ke sistem</t>
  </si>
  <si>
    <t>1) Admin membuat pengumuman
2) Penghuni dapat melihat pengumuman yang dibuat
3) Penghuni memberi komentar</t>
  </si>
  <si>
    <t>- Pengumuman berhasil dibuat
- Penguni dapat melihat pengumuman yang dibuat                                                                                                     - Penghuni dapat memberi komentar</t>
  </si>
  <si>
    <t>pengelola membuat pengumuman di forum komunikasi</t>
  </si>
  <si>
    <t>pengelola telah login ke sistem</t>
  </si>
  <si>
    <t>1) Pengelola membuat pengumuman
2) Penghuni dapat melihat pengumuman yang dibuat
3) Penghuni memberi komentar</t>
  </si>
  <si>
    <t>satpam membuat pengumuman di forum komunikasi</t>
  </si>
  <si>
    <t>Satpam telah login ke sistem</t>
  </si>
  <si>
    <t>1) Satpam membuat pengumuman
2) Penghuni dapat melihat pengumuman yang dibuat
3) Penghuni memberi komentar</t>
  </si>
  <si>
    <t>satpan melaporkan insiden atau kejanggalan keamanan ke sistem, dan hanya simpan laporan di database</t>
  </si>
  <si>
    <t>satpan telah login dan menemukan kejanggalan</t>
  </si>
  <si>
    <t>1) Satpam memilih menu "Laporan Keamanan"
2) Satpam mengisi detail laporan
3) Satpam memilih tidak lanjut untuk keep di sistem</t>
  </si>
  <si>
    <t xml:space="preserve">- Laporan berhasil disimpan                                                                 </t>
  </si>
  <si>
    <t>satpan melaporkan insiden atau kejanggalan keamanan ke sistem, dan mengirimkan notifikasi ke admin</t>
  </si>
  <si>
    <t>1) Satpam memilih menu "Laporan Keamanan"
2) Satpam mengisi detail laporan
3) Satpam memilih tidak lanjut untuk kirim ke admin</t>
  </si>
  <si>
    <t>- Laporan berhasil disimpan                                                                            - Admin menerima notifikasi dan laporan</t>
  </si>
  <si>
    <t>satpan melaporkan insiden atau kejanggalan keamanan ke sistem, dan publikasikan ke forum</t>
  </si>
  <si>
    <t>1) Satpam memilih menu "Laporan Keamanan"
2) Satpam mengisi detail laporan
3) Satpam memilih tidak lanjut untuk publikasikan ke forum</t>
  </si>
  <si>
    <t>- Laporan berhasil disimpan                                                                            - Informasi berhasil dipublikasikan ke forum komunikasi</t>
  </si>
  <si>
    <t>admin menambahkan data penghuni, memperbarui data yang sudah ada, dan menghapus data</t>
  </si>
  <si>
    <t>1) Admin memilih menu "Data Penghuni"
2) Admin memilih tambah data
3) Admin memilih memperbarui data                                                                              4) Admin memilih hapus data</t>
  </si>
  <si>
    <t>- Data penghuni berhasil ditampilkan sesuai database
- Admin berhasil menambahkan data penghuni
- Admin berhasil memperbarui data penghuni
- Admin berhasil menghapus data penghuni</t>
  </si>
  <si>
    <t>admin menambahkan data unit hunian baru, dan memperbarui data yang sudah ada</t>
  </si>
  <si>
    <t xml:space="preserve">1) Admin memilih menu "Data Unit"
2) Admin memilih tambah data
3) Admin memilih memperbarui data                                                                             </t>
  </si>
  <si>
    <t>- Data unit berhasil ditampilkan sesuai database
- Admin berhasil menambahkan data unit
- Admin berhasil memperbarui data unit</t>
  </si>
  <si>
    <t>penghuni mengakses daftar kontak darurat</t>
  </si>
  <si>
    <t xml:space="preserve">1) Penghuni memilih menu "Kontak Darurat"
2) Penghuni memilih dan melihat detail salah satu kontak
3) Penghuni menghubungi kontak yang tersedia                                                                         </t>
  </si>
  <si>
    <t>- Kontak darurat berhasil ditampilkan 
- Penghuni dapat melihat detail dan menghubungi kontak</t>
  </si>
  <si>
    <t xml:space="preserve">admin menambahkan, memperbarui, dan menghapus kontak penting </t>
  </si>
  <si>
    <t>1) Admin memilih menu "Kontak Darurat"
2) Admin memilih tambah data
3) Admin memilih memperbarui data                                                                              4) Admin memilih hapus data</t>
  </si>
  <si>
    <t>- Data kontak darurat berhasil ditampilkan
- Admin berhasil menambahkan data kontak
- Admin berhasil memperbarui data kontak
- Admin berhasil menghapus data kontak</t>
  </si>
  <si>
    <t>admin mengakses laporan bulanan, dan mengexporrnya ke format PDF dan excel</t>
  </si>
  <si>
    <t>1) Admin memilih menu "Laporan"
2) Admin memilih jenis laporan operasional
3) Admin export laporan operasional                                                                     4) Admin memilih jenis laporan pembayaran
5) Admin export laporan pembayaran</t>
  </si>
  <si>
    <t>- Laporan operasional berhasil ditampilkan dan diexpor ke PDF/Excel
- Laporan keuangan berhasil ditampilkan dan diexpor ke PDF/Exce</t>
  </si>
  <si>
    <t>pengelola mengakses laporan bulanan, dan mengexporrnya ke format PDF dan excel</t>
  </si>
  <si>
    <t>1) Pengelola memilih menu "Laporan"
2) Pengelola memilih jenis laporan operasional
3) Pengelola export laporan operasional                                                                     4) Pengelola memilih jenis laporan pembayaran
5) Pengelola export laporan pembayaran</t>
  </si>
  <si>
    <t>Use Case</t>
  </si>
  <si>
    <t>Kode FR</t>
  </si>
  <si>
    <t>Test Case (System)</t>
  </si>
  <si>
    <t>Registrasi (Head)</t>
  </si>
  <si>
    <t>FR-REG-01. FR-REG-02</t>
  </si>
  <si>
    <t>Registrasi (family)</t>
  </si>
  <si>
    <t>login</t>
  </si>
  <si>
    <t>profil pengguna</t>
  </si>
  <si>
    <t>pembayaran</t>
  </si>
  <si>
    <t>pengajuan keluhan</t>
  </si>
  <si>
    <t>forum komunikasi</t>
  </si>
  <si>
    <t>management keamanan</t>
  </si>
  <si>
    <t>management data penghuni</t>
  </si>
  <si>
    <t>management data unit</t>
  </si>
  <si>
    <t>kontak darurat (penghuni)</t>
  </si>
  <si>
    <t>kontak darurat (admin)</t>
  </si>
  <si>
    <t>laporan</t>
  </si>
  <si>
    <t>Backend Module</t>
  </si>
  <si>
    <t>Testing Status</t>
  </si>
  <si>
    <t>Dev Status</t>
  </si>
  <si>
    <t>No</t>
  </si>
  <si>
    <t>Sub-Module</t>
  </si>
  <si>
    <t>Sub-Sub-Module</t>
  </si>
  <si>
    <t>Communication</t>
  </si>
  <si>
    <t>Announcement</t>
  </si>
  <si>
    <t>Forum-comment</t>
  </si>
  <si>
    <t>Forum-post</t>
  </si>
  <si>
    <t>Forum-tag</t>
  </si>
  <si>
    <t>Contact</t>
  </si>
  <si>
    <t>Financial</t>
  </si>
  <si>
    <t>Biling</t>
  </si>
  <si>
    <t>Payments</t>
  </si>
  <si>
    <t>Reports</t>
  </si>
  <si>
    <t>Request</t>
  </si>
  <si>
    <t>Compliant</t>
  </si>
  <si>
    <t>User</t>
  </si>
  <si>
    <t>App-users</t>
  </si>
  <si>
    <t>Employee</t>
  </si>
  <si>
    <t>Resident</t>
  </si>
  <si>
    <t>Family-approval</t>
  </si>
  <si>
    <t>Family-code</t>
  </si>
  <si>
    <t>Exports</t>
  </si>
  <si>
    <t>Jwt-strategy</t>
  </si>
  <si>
    <t>Mailer</t>
  </si>
  <si>
    <t>Tested</t>
  </si>
  <si>
    <t>Not Yet</t>
  </si>
  <si>
    <t>Phase</t>
  </si>
  <si>
    <t>Task</t>
  </si>
  <si>
    <t>Start</t>
  </si>
  <si>
    <t>End</t>
  </si>
  <si>
    <t>Progress</t>
  </si>
  <si>
    <t>Juli</t>
  </si>
  <si>
    <t>Agustus</t>
  </si>
  <si>
    <t>September</t>
  </si>
  <si>
    <t>Planning</t>
  </si>
  <si>
    <t>Menyusun test plan (scope, tujuan, strategi, risiko)</t>
  </si>
  <si>
    <t>Juli, 7/18/2025</t>
  </si>
  <si>
    <t>Aug, 8/8/2028</t>
  </si>
  <si>
    <t>◆</t>
  </si>
  <si>
    <t>Identifikasi tools &amp; environment yang dibutuhkan</t>
  </si>
  <si>
    <t>QA + Team</t>
  </si>
  <si>
    <t>Juli, 7/25/2027</t>
  </si>
  <si>
    <t>Design</t>
  </si>
  <si>
    <t>Menentukan test scenario dan test condition</t>
  </si>
  <si>
    <t>Aug, 9/10/2025</t>
  </si>
  <si>
    <t>Membuat test case detail (positif &amp; negatif)</t>
  </si>
  <si>
    <t>Environment Setup</t>
  </si>
  <si>
    <t>Menyediakan test environment (repository, data dummy/mock, dll.)</t>
  </si>
  <si>
    <t>QA + Back-end + Front-end</t>
  </si>
  <si>
    <t>Execution</t>
  </si>
  <si>
    <t>Melakukan functional testing (unit, integration, system testing)</t>
  </si>
  <si>
    <t>Aug, 8/10/2029</t>
  </si>
  <si>
    <t>Sep, 9/28/2025</t>
  </si>
  <si>
    <t>Melakukan non-functional testing (performance, security, UI testing)</t>
  </si>
  <si>
    <t>Aug, 8/10/2030</t>
  </si>
  <si>
    <t>Defect Management</t>
  </si>
  <si>
    <t>Membuat bug log</t>
  </si>
  <si>
    <t>Sep, 9/10/2025</t>
  </si>
  <si>
    <t>Retest setelah perbaikan</t>
  </si>
  <si>
    <t>Reporting</t>
  </si>
  <si>
    <t>Menyusun laporan hasil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</si>
</sst>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Aptos Narrow"/>
      <scheme val="minor"/>
    </font>
    <font>
      <sz val="20.0"/>
      <color rgb="FFF3F3F3"/>
      <name val="Times New Roman"/>
    </font>
    <font/>
    <font>
      <sz val="9.0"/>
      <color rgb="FFF3F3F3"/>
      <name val="Arial"/>
    </font>
    <font>
      <color theme="1"/>
      <name val="Arial"/>
    </font>
    <font>
      <sz val="11.0"/>
      <color rgb="FF000000"/>
      <name val="Times New Roman"/>
    </font>
    <font>
      <b/>
      <sz val="11.0"/>
      <color rgb="FF000000"/>
      <name val="Times New Roman"/>
    </font>
    <font>
      <sz val="15.0"/>
      <color rgb="FF000000"/>
      <name val="Times New Roman"/>
    </font>
    <font>
      <sz val="11.0"/>
      <color rgb="FFF3F3F3"/>
      <name val="Times New Roman"/>
    </font>
    <font>
      <sz val="11.0"/>
      <color rgb="FFF3F3F3"/>
      <name val="Arial"/>
    </font>
    <font>
      <color theme="1"/>
      <name val="Aptos Narrow"/>
    </font>
    <font>
      <sz val="8.0"/>
      <color theme="1"/>
      <name val="Arial"/>
    </font>
    <font>
      <sz val="9.0"/>
      <color rgb="FFF3F3F3"/>
      <name val="Times New Roman"/>
    </font>
    <font>
      <sz val="8.0"/>
      <color rgb="FFF3F3F3"/>
      <name val="Arial"/>
    </font>
    <font>
      <sz val="8.0"/>
      <color theme="1"/>
      <name val="Aptos Narrow"/>
    </font>
    <font>
      <b/>
      <sz val="12.0"/>
      <color rgb="FFFFFFFF"/>
      <name val="Times New Roman"/>
    </font>
    <font>
      <sz val="12.0"/>
      <color rgb="FF000000"/>
      <name val="Times New Roman"/>
    </font>
    <font>
      <sz val="11.0"/>
      <color theme="1"/>
      <name val="Arial"/>
    </font>
    <font>
      <sz val="11.0"/>
      <color theme="1"/>
      <name val="Aptos Narrow"/>
    </font>
    <font>
      <u/>
      <sz val="11.0"/>
      <color theme="10"/>
      <name val="Times New Roman"/>
    </font>
    <font>
      <sz val="11.0"/>
      <color rgb="FF000000"/>
      <name val="&quot;Aptos Narrow&quot;"/>
    </font>
    <font>
      <u/>
      <sz val="11.0"/>
      <color rgb="FF467886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  <font>
      <u/>
      <sz val="11.0"/>
      <color rgb="FF467886"/>
      <name val="Times New Roman"/>
    </font>
    <font>
      <u/>
      <sz val="11.0"/>
      <color rgb="FF467886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sz val="15.0"/>
      <color theme="1"/>
      <name val="Times New Roman"/>
    </font>
    <font>
      <sz val="11.0"/>
      <color theme="1"/>
      <name val="Times New Roman"/>
    </font>
    <font>
      <b/>
      <sz val="10.0"/>
      <color rgb="FFE8E8E8"/>
      <name val="Times New Roman"/>
    </font>
    <font>
      <sz val="10.0"/>
      <color rgb="FF172B4D"/>
      <name val="Times New Roman"/>
    </font>
    <font>
      <color rgb="FFFFFFFF"/>
      <name val="Aptos Narrow"/>
    </font>
    <font>
      <color rgb="FF172B4D"/>
      <name val="Times New Roman"/>
    </font>
    <font>
      <sz val="11.0"/>
      <color rgb="FF000000"/>
      <name val="Arial"/>
    </font>
    <font>
      <b/>
      <color rgb="FFE8E8E8"/>
      <name val="Times New Roman"/>
    </font>
    <font>
      <b/>
      <sz val="11.0"/>
      <color rgb="FFFFFFFF"/>
      <name val="Times New Roman"/>
    </font>
    <font>
      <b/>
      <color theme="1"/>
      <name val="Arial"/>
    </font>
    <font>
      <sz val="10.0"/>
      <color rgb="FF172B4D"/>
      <name val="Arial"/>
    </font>
    <font>
      <b/>
      <color theme="1"/>
      <name val="Aptos Narrow"/>
    </font>
    <font>
      <b/>
      <sz val="11.0"/>
      <color rgb="FF000000"/>
      <name val="&quot;Aptos Narrow&quot;"/>
    </font>
    <font>
      <sz val="11.0"/>
      <color rgb="FF666666"/>
      <name val="&quot;Aptos Narrow&quot;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FF5050"/>
        <bgColor rgb="FFFF5050"/>
      </patternFill>
    </fill>
    <fill>
      <patternFill patternType="solid">
        <fgColor rgb="FF215C98"/>
        <bgColor rgb="FF215C98"/>
      </patternFill>
    </fill>
    <fill>
      <patternFill patternType="solid">
        <fgColor rgb="FFFFFF00"/>
        <bgColor rgb="FFFFFF00"/>
      </patternFill>
    </fill>
    <fill>
      <patternFill patternType="solid">
        <fgColor rgb="FF153D64"/>
        <bgColor rgb="FF153D64"/>
      </patternFill>
    </fill>
    <fill>
      <patternFill patternType="solid">
        <fgColor rgb="FFFFC000"/>
        <bgColor rgb="FFFFC000"/>
      </patternFill>
    </fill>
    <fill>
      <patternFill patternType="solid">
        <fgColor rgb="FFFFD655"/>
        <bgColor rgb="FFFFD655"/>
      </patternFill>
    </fill>
    <fill>
      <patternFill patternType="solid">
        <fgColor rgb="FFBF4F14"/>
        <bgColor rgb="FFBF4F14"/>
      </patternFill>
    </fill>
    <fill>
      <patternFill patternType="solid">
        <fgColor rgb="FFB3E5A1"/>
        <bgColor rgb="FFB3E5A1"/>
      </patternFill>
    </fill>
    <fill>
      <patternFill patternType="solid">
        <fgColor rgb="FFB5E6A2"/>
        <bgColor rgb="FFB5E6A2"/>
      </patternFill>
    </fill>
    <fill>
      <patternFill patternType="solid">
        <fgColor rgb="FFBE5014"/>
        <bgColor rgb="FFBE5014"/>
      </patternFill>
    </fill>
    <fill>
      <patternFill patternType="solid">
        <fgColor rgb="FF00FF00"/>
        <bgColor rgb="FF00FF00"/>
      </patternFill>
    </fill>
    <fill>
      <patternFill patternType="solid">
        <fgColor rgb="FF404040"/>
        <bgColor rgb="FF404040"/>
      </patternFill>
    </fill>
    <fill>
      <patternFill patternType="solid">
        <fgColor rgb="FFFBE2D5"/>
        <bgColor rgb="FFFBE2D5"/>
      </patternFill>
    </fill>
    <fill>
      <patternFill patternType="solid">
        <fgColor rgb="FFC00000"/>
        <bgColor rgb="FFC00000"/>
      </patternFill>
    </fill>
    <fill>
      <patternFill patternType="solid">
        <fgColor rgb="FF4EA72E"/>
        <bgColor rgb="FF4EA72E"/>
      </patternFill>
    </fill>
    <fill>
      <patternFill patternType="solid">
        <fgColor rgb="FFD8DC24"/>
        <bgColor rgb="FFD8DC24"/>
      </patternFill>
    </fill>
    <fill>
      <patternFill patternType="solid">
        <fgColor rgb="FFA6C9EB"/>
        <bgColor rgb="FFA6C9EB"/>
      </patternFill>
    </fill>
    <fill>
      <patternFill patternType="solid">
        <fgColor rgb="FFA6C9EC"/>
        <bgColor rgb="FFA6C9EC"/>
      </patternFill>
    </fill>
    <fill>
      <patternFill patternType="solid">
        <fgColor rgb="FFFFFFCC"/>
        <bgColor rgb="FFFFFFCC"/>
      </patternFill>
    </fill>
    <fill>
      <patternFill patternType="solid">
        <fgColor rgb="FFDAF2D0"/>
        <bgColor rgb="FFDAF2D0"/>
      </patternFill>
    </fill>
    <fill>
      <patternFill patternType="solid">
        <fgColor rgb="FFADADAD"/>
        <bgColor rgb="FFADADAD"/>
      </patternFill>
    </fill>
    <fill>
      <patternFill patternType="solid">
        <fgColor rgb="FFD0D0D0"/>
        <bgColor rgb="FFD0D0D0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EEECE1"/>
        <bgColor rgb="FFEEECE1"/>
      </patternFill>
    </fill>
    <fill>
      <patternFill patternType="solid">
        <fgColor rgb="FF8DB4E2"/>
        <bgColor rgb="FF8DB4E2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rgb="FFFFD966"/>
        <bgColor rgb="FFFFD966"/>
      </patternFill>
    </fill>
    <fill>
      <patternFill patternType="solid">
        <fgColor rgb="FFF4B183"/>
        <bgColor rgb="FFF4B183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</fills>
  <borders count="4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</border>
    <border>
      <left/>
      <right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right style="thin">
        <color rgb="FFDDDDDD"/>
      </right>
      <bottom style="thin">
        <color rgb="FFDDDDDD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0" fillId="3" fontId="4" numFmtId="0" xfId="0" applyAlignment="1" applyFont="1">
      <alignment horizontal="center"/>
    </xf>
    <xf borderId="4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0" fillId="3" fontId="5" numFmtId="0" xfId="0" applyAlignment="1" applyFont="1">
      <alignment horizontal="center" shrinkToFit="0" vertical="center" wrapText="0"/>
    </xf>
    <xf borderId="0" fillId="3" fontId="1" numFmtId="0" xfId="0" applyAlignment="1" applyFont="1">
      <alignment horizontal="center" vertical="center"/>
    </xf>
    <xf borderId="6" fillId="3" fontId="6" numFmtId="0" xfId="0" applyAlignment="1" applyBorder="1" applyFont="1">
      <alignment horizontal="left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vertical="center"/>
    </xf>
    <xf borderId="8" fillId="0" fontId="2" numFmtId="0" xfId="0" applyBorder="1" applyFont="1"/>
    <xf borderId="0" fillId="3" fontId="5" numFmtId="0" xfId="0" applyAlignment="1" applyFont="1">
      <alignment horizontal="center" vertical="center"/>
    </xf>
    <xf borderId="0" fillId="3" fontId="5" numFmtId="0" xfId="0" applyAlignment="1" applyFont="1">
      <alignment horizontal="center" shrinkToFit="0" vertical="center" wrapText="1"/>
    </xf>
    <xf borderId="6" fillId="3" fontId="5" numFmtId="0" xfId="0" applyAlignment="1" applyBorder="1" applyFont="1">
      <alignment horizontal="center" vertical="center"/>
    </xf>
    <xf borderId="6" fillId="4" fontId="5" numFmtId="0" xfId="0" applyAlignment="1" applyBorder="1" applyFill="1" applyFont="1">
      <alignment horizontal="center" vertical="center"/>
    </xf>
    <xf borderId="0" fillId="3" fontId="5" numFmtId="0" xfId="0" applyAlignment="1" applyFont="1">
      <alignment horizontal="center"/>
    </xf>
    <xf borderId="6" fillId="5" fontId="5" numFmtId="0" xfId="0" applyAlignment="1" applyBorder="1" applyFill="1" applyFont="1">
      <alignment horizontal="center" vertical="center"/>
    </xf>
    <xf borderId="0" fillId="3" fontId="5" numFmtId="0" xfId="0" applyFont="1"/>
    <xf borderId="1" fillId="0" fontId="7" numFmtId="0" xfId="0" applyAlignment="1" applyBorder="1" applyFont="1">
      <alignment horizontal="center" shrinkToFit="0" vertical="center" wrapText="1"/>
    </xf>
    <xf borderId="8" fillId="6" fontId="8" numFmtId="0" xfId="0" applyAlignment="1" applyBorder="1" applyFill="1" applyFont="1">
      <alignment horizontal="center" shrinkToFit="0" vertical="center" wrapText="0"/>
    </xf>
    <xf borderId="6" fillId="6" fontId="9" numFmtId="0" xfId="0" applyAlignment="1" applyBorder="1" applyFont="1">
      <alignment horizontal="center"/>
    </xf>
    <xf borderId="8" fillId="4" fontId="4" numFmtId="0" xfId="0" applyAlignment="1" applyBorder="1" applyFont="1">
      <alignment horizontal="center"/>
    </xf>
    <xf borderId="6" fillId="0" fontId="10" numFmtId="0" xfId="0" applyAlignment="1" applyBorder="1" applyFont="1">
      <alignment horizontal="center"/>
    </xf>
    <xf borderId="8" fillId="5" fontId="4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0" fillId="0" fontId="11" numFmtId="0" xfId="0" applyAlignment="1" applyFont="1">
      <alignment shrinkToFit="0" vertical="top" wrapText="1"/>
    </xf>
    <xf borderId="6" fillId="6" fontId="12" numFmtId="0" xfId="0" applyAlignment="1" applyBorder="1" applyFont="1">
      <alignment horizontal="center" shrinkToFit="0" vertical="center" wrapText="0"/>
    </xf>
    <xf borderId="6" fillId="6" fontId="13" numFmtId="0" xfId="0" applyAlignment="1" applyBorder="1" applyFont="1">
      <alignment horizontal="center" vertical="center"/>
    </xf>
    <xf borderId="6" fillId="6" fontId="3" numFmtId="0" xfId="0" applyAlignment="1" applyBorder="1" applyFont="1">
      <alignment horizontal="center" vertical="center"/>
    </xf>
    <xf borderId="0" fillId="0" fontId="14" numFmtId="0" xfId="0" applyAlignment="1" applyFont="1">
      <alignment shrinkToFit="0" vertical="top" wrapText="1"/>
    </xf>
    <xf borderId="6" fillId="4" fontId="5" numFmtId="0" xfId="0" applyAlignment="1" applyBorder="1" applyFont="1">
      <alignment horizontal="center" shrinkToFit="0" vertical="center" wrapText="1"/>
    </xf>
    <xf borderId="6" fillId="7" fontId="4" numFmtId="0" xfId="0" applyAlignment="1" applyBorder="1" applyFill="1" applyFont="1">
      <alignment horizontal="center"/>
    </xf>
    <xf borderId="6" fillId="0" fontId="4" numFmtId="0" xfId="0" applyAlignment="1" applyBorder="1" applyFont="1">
      <alignment horizontal="center"/>
    </xf>
    <xf borderId="6" fillId="4" fontId="4" numFmtId="0" xfId="0" applyAlignment="1" applyBorder="1" applyFont="1">
      <alignment horizontal="center"/>
    </xf>
    <xf borderId="6" fillId="5" fontId="5" numFmtId="0" xfId="0" applyAlignment="1" applyBorder="1" applyFont="1">
      <alignment horizontal="center" shrinkToFit="0" vertical="center" wrapText="0"/>
    </xf>
    <xf borderId="8" fillId="6" fontId="8" numFmtId="0" xfId="0" applyAlignment="1" applyBorder="1" applyFont="1">
      <alignment horizontal="center" shrinkToFit="0" vertical="center" wrapText="1"/>
    </xf>
    <xf borderId="6" fillId="6" fontId="8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/>
    </xf>
    <xf borderId="6" fillId="8" fontId="15" numFmtId="0" xfId="0" applyAlignment="1" applyBorder="1" applyFill="1" applyFont="1">
      <alignment horizontal="center" shrinkToFit="0" vertical="center" wrapText="1"/>
    </xf>
    <xf borderId="0" fillId="3" fontId="15" numFmtId="0" xfId="0" applyAlignment="1" applyFont="1">
      <alignment horizontal="center" shrinkToFit="0" vertical="center" wrapText="1"/>
    </xf>
    <xf borderId="11" fillId="9" fontId="16" numFmtId="0" xfId="0" applyAlignment="1" applyBorder="1" applyFill="1" applyFont="1">
      <alignment horizontal="center" shrinkToFit="0" vertical="center" wrapText="1"/>
    </xf>
    <xf borderId="11" fillId="5" fontId="17" numFmtId="0" xfId="0" applyAlignment="1" applyBorder="1" applyFont="1">
      <alignment horizontal="center" vertical="center"/>
    </xf>
    <xf borderId="11" fillId="10" fontId="17" numFmtId="0" xfId="0" applyAlignment="1" applyBorder="1" applyFill="1" applyFont="1">
      <alignment horizontal="center" vertical="center"/>
    </xf>
    <xf borderId="11" fillId="11" fontId="18" numFmtId="0" xfId="0" applyAlignment="1" applyBorder="1" applyFill="1" applyFont="1">
      <alignment horizontal="center" vertical="center"/>
    </xf>
    <xf borderId="0" fillId="3" fontId="16" numFmtId="0" xfId="0" applyAlignment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0" fillId="3" fontId="19" numFmtId="0" xfId="0" applyAlignment="1" applyFont="1">
      <alignment horizontal="center" shrinkToFit="0" vertical="center" wrapText="1"/>
    </xf>
    <xf borderId="11" fillId="7" fontId="18" numFmtId="0" xfId="0" applyAlignment="1" applyBorder="1" applyFont="1">
      <alignment horizontal="center" vertical="center"/>
    </xf>
    <xf borderId="11" fillId="12" fontId="18" numFmtId="0" xfId="0" applyAlignment="1" applyBorder="1" applyFill="1" applyFont="1">
      <alignment horizontal="center" vertical="center"/>
    </xf>
    <xf borderId="11" fillId="7" fontId="20" numFmtId="0" xfId="0" applyAlignment="1" applyBorder="1" applyFont="1">
      <alignment horizontal="center" shrinkToFit="0" vertical="center" wrapText="1"/>
    </xf>
    <xf borderId="11" fillId="13" fontId="20" numFmtId="0" xfId="0" applyAlignment="1" applyBorder="1" applyFill="1" applyFont="1">
      <alignment horizontal="center" shrinkToFit="0" vertical="center" wrapText="1"/>
    </xf>
    <xf borderId="11" fillId="14" fontId="20" numFmtId="0" xfId="0" applyAlignment="1" applyBorder="1" applyFill="1" applyFont="1">
      <alignment horizontal="center" shrinkToFit="0" vertical="center" wrapText="1"/>
    </xf>
    <xf borderId="0" fillId="3" fontId="21" numFmtId="0" xfId="0" applyAlignment="1" applyFont="1">
      <alignment horizontal="center" shrinkToFit="0" vertical="center" wrapText="1"/>
    </xf>
    <xf borderId="6" fillId="9" fontId="16" numFmtId="0" xfId="0" applyAlignment="1" applyBorder="1" applyFont="1">
      <alignment horizontal="center" shrinkToFit="0" vertical="center" wrapText="1"/>
    </xf>
    <xf borderId="6" fillId="15" fontId="16" numFmtId="0" xfId="0" applyAlignment="1" applyBorder="1" applyFill="1" applyFont="1">
      <alignment horizontal="center" shrinkToFit="0" vertical="center" wrapText="1"/>
    </xf>
    <xf borderId="6" fillId="12" fontId="16" numFmtId="0" xfId="0" applyAlignment="1" applyBorder="1" applyFont="1">
      <alignment horizontal="center" shrinkToFit="0" vertical="center" wrapText="1"/>
    </xf>
    <xf borderId="6" fillId="11" fontId="16" numFmtId="0" xfId="0" applyAlignment="1" applyBorder="1" applyFont="1">
      <alignment horizontal="center" shrinkToFit="0" vertical="center" wrapText="1"/>
    </xf>
    <xf borderId="0" fillId="3" fontId="16" numFmtId="0" xfId="0" applyAlignment="1" applyFont="1">
      <alignment horizontal="left" shrinkToFit="0" vertical="center" wrapText="1"/>
    </xf>
    <xf borderId="6" fillId="10" fontId="16" numFmtId="0" xfId="0" applyAlignment="1" applyBorder="1" applyFont="1">
      <alignment horizontal="center" shrinkToFit="0" vertical="center" wrapText="1"/>
    </xf>
    <xf borderId="14" fillId="16" fontId="15" numFmtId="0" xfId="0" applyAlignment="1" applyBorder="1" applyFill="1" applyFont="1">
      <alignment horizontal="center" shrinkToFit="0" vertical="center" wrapText="1"/>
    </xf>
    <xf borderId="14" fillId="17" fontId="16" numFmtId="0" xfId="0" applyAlignment="1" applyBorder="1" applyFill="1" applyFont="1">
      <alignment horizontal="center" shrinkToFit="0" vertical="center" wrapText="1"/>
    </xf>
    <xf borderId="15" fillId="9" fontId="16" numFmtId="0" xfId="0" applyAlignment="1" applyBorder="1" applyFont="1">
      <alignment horizontal="center" shrinkToFit="0" vertical="center" wrapText="1"/>
    </xf>
    <xf borderId="16" fillId="5" fontId="17" numFmtId="0" xfId="0" applyAlignment="1" applyBorder="1" applyFont="1">
      <alignment horizontal="center" vertical="center"/>
    </xf>
    <xf borderId="17" fillId="10" fontId="17" numFmtId="0" xfId="0" applyAlignment="1" applyBorder="1" applyFont="1">
      <alignment horizontal="center" vertical="center"/>
    </xf>
    <xf borderId="17" fillId="11" fontId="18" numFmtId="0" xfId="0" applyAlignment="1" applyBorder="1" applyFont="1">
      <alignment horizontal="center" vertical="center"/>
    </xf>
    <xf borderId="18" fillId="9" fontId="16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9" fontId="16" numFmtId="0" xfId="0" applyAlignment="1" applyBorder="1" applyFont="1">
      <alignment horizontal="center" shrinkToFit="0" vertical="center" wrapText="1"/>
    </xf>
    <xf borderId="21" fillId="9" fontId="22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2" numFmtId="0" xfId="0" applyBorder="1" applyFont="1"/>
    <xf borderId="16" fillId="7" fontId="18" numFmtId="0" xfId="0" applyAlignment="1" applyBorder="1" applyFont="1">
      <alignment horizontal="center" vertical="center"/>
    </xf>
    <xf borderId="17" fillId="12" fontId="18" numFmtId="0" xfId="0" applyAlignment="1" applyBorder="1" applyFont="1">
      <alignment horizontal="center" vertical="center"/>
    </xf>
    <xf borderId="18" fillId="9" fontId="23" numFmtId="0" xfId="0" applyAlignment="1" applyBorder="1" applyFont="1">
      <alignment horizontal="center" shrinkToFit="0" vertical="center" wrapText="1"/>
    </xf>
    <xf borderId="24" fillId="9" fontId="16" numFmtId="0" xfId="0" applyAlignment="1" applyBorder="1" applyFont="1">
      <alignment horizontal="center" shrinkToFit="0" vertical="center" wrapText="1"/>
    </xf>
    <xf borderId="25" fillId="9" fontId="16" numFmtId="0" xfId="0" applyAlignment="1" applyBorder="1" applyFont="1">
      <alignment horizontal="center" shrinkToFit="0" vertical="center" wrapText="1"/>
    </xf>
    <xf borderId="15" fillId="9" fontId="24" numFmtId="0" xfId="0" applyAlignment="1" applyBorder="1" applyFont="1">
      <alignment horizontal="center" shrinkToFit="0" vertical="center" wrapText="1"/>
    </xf>
    <xf borderId="26" fillId="9" fontId="16" numFmtId="0" xfId="0" applyAlignment="1" applyBorder="1" applyFont="1">
      <alignment horizontal="center" shrinkToFit="0" vertical="center" wrapText="1"/>
    </xf>
    <xf borderId="27" fillId="9" fontId="16" numFmtId="0" xfId="0" applyAlignment="1" applyBorder="1" applyFont="1">
      <alignment horizontal="center" shrinkToFit="0" vertical="center" wrapText="1"/>
    </xf>
    <xf borderId="28" fillId="9" fontId="16" numFmtId="0" xfId="0" applyAlignment="1" applyBorder="1" applyFont="1">
      <alignment horizontal="center" shrinkToFit="0" vertical="center" wrapText="1"/>
    </xf>
    <xf borderId="29" fillId="9" fontId="16" numFmtId="0" xfId="0" applyAlignment="1" applyBorder="1" applyFont="1">
      <alignment horizontal="center" shrinkToFit="0" vertical="center" wrapText="1"/>
    </xf>
    <xf borderId="1" fillId="9" fontId="16" numFmtId="0" xfId="0" applyAlignment="1" applyBorder="1" applyFont="1">
      <alignment horizontal="center" shrinkToFit="0" vertical="center" wrapText="1"/>
    </xf>
    <xf borderId="2" fillId="9" fontId="16" numFmtId="0" xfId="0" applyAlignment="1" applyBorder="1" applyFont="1">
      <alignment horizontal="center" shrinkToFit="0" vertical="center" wrapText="1"/>
    </xf>
    <xf borderId="11" fillId="9" fontId="25" numFmtId="0" xfId="0" applyAlignment="1" applyBorder="1" applyFont="1">
      <alignment horizontal="center" shrinkToFit="0" vertical="center" wrapText="1"/>
    </xf>
    <xf borderId="1" fillId="7" fontId="20" numFmtId="0" xfId="0" applyAlignment="1" applyBorder="1" applyFont="1">
      <alignment horizontal="center" shrinkToFit="0" vertical="center" wrapText="1"/>
    </xf>
    <xf borderId="2" fillId="13" fontId="20" numFmtId="0" xfId="0" applyAlignment="1" applyBorder="1" applyFont="1">
      <alignment horizontal="center" shrinkToFit="0" vertical="center" wrapText="1"/>
    </xf>
    <xf borderId="2" fillId="14" fontId="20" numFmtId="0" xfId="0" applyAlignment="1" applyBorder="1" applyFont="1">
      <alignment horizontal="center" shrinkToFit="0" vertical="center" wrapText="1"/>
    </xf>
    <xf borderId="4" fillId="9" fontId="16" numFmtId="0" xfId="0" applyAlignment="1" applyBorder="1" applyFont="1">
      <alignment horizontal="center" shrinkToFit="0" vertical="center" wrapText="1"/>
    </xf>
    <xf borderId="12" fillId="9" fontId="16" numFmtId="0" xfId="0" applyAlignment="1" applyBorder="1" applyFont="1">
      <alignment horizontal="center" shrinkToFit="0" vertical="center" wrapText="1"/>
    </xf>
    <xf borderId="0" fillId="9" fontId="16" numFmtId="0" xfId="0" applyAlignment="1" applyFont="1">
      <alignment horizontal="center" shrinkToFit="0" vertical="center" wrapText="1"/>
    </xf>
    <xf borderId="9" fillId="9" fontId="16" numFmtId="0" xfId="0" applyAlignment="1" applyBorder="1" applyFont="1">
      <alignment horizontal="center" shrinkToFit="0" vertical="center" wrapText="1"/>
    </xf>
    <xf borderId="13" fillId="9" fontId="16" numFmtId="0" xfId="0" applyAlignment="1" applyBorder="1" applyFont="1">
      <alignment horizontal="center" shrinkToFit="0" vertical="center" wrapText="1"/>
    </xf>
    <xf borderId="30" fillId="9" fontId="16" numFmtId="0" xfId="0" applyAlignment="1" applyBorder="1" applyFont="1">
      <alignment horizontal="center" shrinkToFit="0" vertical="center" wrapText="1"/>
    </xf>
    <xf borderId="13" fillId="9" fontId="26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6" fillId="9" fontId="16" numFmtId="0" xfId="0" applyAlignment="1" applyBorder="1" applyFont="1">
      <alignment horizontal="left" shrinkToFit="0" vertical="center" wrapText="1"/>
    </xf>
    <xf borderId="15" fillId="18" fontId="15" numFmtId="0" xfId="0" applyAlignment="1" applyBorder="1" applyFill="1" applyFont="1">
      <alignment horizontal="center" shrinkToFit="0" vertical="center" wrapText="1"/>
    </xf>
    <xf borderId="15" fillId="19" fontId="15" numFmtId="0" xfId="0" applyAlignment="1" applyBorder="1" applyFill="1" applyFont="1">
      <alignment horizontal="center" shrinkToFit="0" vertical="center" wrapText="1"/>
    </xf>
    <xf borderId="18" fillId="18" fontId="15" numFmtId="0" xfId="0" applyAlignment="1" applyBorder="1" applyFont="1">
      <alignment horizontal="center" shrinkToFit="0" vertical="center" wrapText="1"/>
    </xf>
    <xf borderId="18" fillId="19" fontId="15" numFmtId="0" xfId="0" applyAlignment="1" applyBorder="1" applyFont="1">
      <alignment horizontal="center" shrinkToFit="0" vertical="center" wrapText="1"/>
    </xf>
    <xf borderId="21" fillId="18" fontId="15" numFmtId="0" xfId="0" applyAlignment="1" applyBorder="1" applyFont="1">
      <alignment horizontal="center" shrinkToFit="0" vertical="center" wrapText="1"/>
    </xf>
    <xf borderId="11" fillId="20" fontId="27" numFmtId="0" xfId="0" applyAlignment="1" applyBorder="1" applyFill="1" applyFont="1">
      <alignment horizontal="center" shrinkToFit="0" vertical="center" wrapText="1"/>
    </xf>
    <xf borderId="11" fillId="18" fontId="15" numFmtId="0" xfId="0" applyAlignment="1" applyBorder="1" applyFont="1">
      <alignment horizontal="center" shrinkToFit="0" vertical="center" wrapText="1"/>
    </xf>
    <xf borderId="6" fillId="0" fontId="18" numFmtId="0" xfId="0" applyBorder="1" applyFont="1"/>
    <xf borderId="31" fillId="12" fontId="17" numFmtId="0" xfId="0" applyAlignment="1" applyBorder="1" applyFont="1">
      <alignment horizontal="center"/>
    </xf>
    <xf borderId="32" fillId="0" fontId="2" numFmtId="0" xfId="0" applyBorder="1" applyFont="1"/>
    <xf borderId="33" fillId="0" fontId="2" numFmtId="0" xfId="0" applyBorder="1" applyFont="1"/>
    <xf borderId="34" fillId="0" fontId="18" numFmtId="0" xfId="0" applyBorder="1" applyFont="1"/>
    <xf borderId="10" fillId="0" fontId="18" numFmtId="0" xfId="0" applyBorder="1" applyFont="1"/>
    <xf borderId="21" fillId="12" fontId="11" numFmtId="0" xfId="0" applyBorder="1" applyFont="1"/>
    <xf borderId="0" fillId="3" fontId="17" numFmtId="0" xfId="0" applyFont="1"/>
    <xf borderId="35" fillId="21" fontId="17" numFmtId="0" xfId="0" applyAlignment="1" applyBorder="1" applyFill="1" applyFont="1">
      <alignment horizontal="center" vertical="center"/>
    </xf>
    <xf borderId="36" fillId="21" fontId="28" numFmtId="0" xfId="0" applyAlignment="1" applyBorder="1" applyFont="1">
      <alignment horizontal="left" shrinkToFit="0" vertical="center" wrapText="1"/>
    </xf>
    <xf borderId="6" fillId="7" fontId="18" numFmtId="0" xfId="0" applyBorder="1" applyFont="1"/>
    <xf borderId="6" fillId="3" fontId="18" numFmtId="0" xfId="0" applyBorder="1" applyFont="1"/>
    <xf borderId="0" fillId="0" fontId="18" numFmtId="0" xfId="0" applyFont="1"/>
    <xf borderId="34" fillId="0" fontId="2" numFmtId="0" xfId="0" applyBorder="1" applyFont="1"/>
    <xf borderId="6" fillId="0" fontId="10" numFmtId="0" xfId="0" applyBorder="1" applyFont="1"/>
    <xf borderId="37" fillId="0" fontId="2" numFmtId="0" xfId="0" applyBorder="1" applyFont="1"/>
    <xf borderId="0" fillId="0" fontId="4" numFmtId="0" xfId="0" applyFont="1"/>
    <xf borderId="6" fillId="9" fontId="18" numFmtId="0" xfId="0" applyAlignment="1" applyBorder="1" applyFont="1">
      <alignment horizontal="center"/>
    </xf>
    <xf borderId="6" fillId="9" fontId="17" numFmtId="0" xfId="0" applyAlignment="1" applyBorder="1" applyFont="1">
      <alignment horizontal="center"/>
    </xf>
    <xf borderId="6" fillId="22" fontId="4" numFmtId="0" xfId="0" applyAlignment="1" applyBorder="1" applyFill="1" applyFont="1">
      <alignment horizontal="center" shrinkToFit="0" vertical="center" wrapText="1"/>
    </xf>
    <xf borderId="6" fillId="12" fontId="4" numFmtId="0" xfId="0" applyAlignment="1" applyBorder="1" applyFont="1">
      <alignment horizontal="center" shrinkToFit="0" vertical="center" wrapText="1"/>
    </xf>
    <xf borderId="0" fillId="0" fontId="10" numFmtId="0" xfId="0" applyFont="1"/>
    <xf borderId="0" fillId="0" fontId="7" numFmtId="0" xfId="0" applyAlignment="1" applyFont="1">
      <alignment horizontal="center" shrinkToFit="0" vertical="center" wrapText="1"/>
    </xf>
    <xf borderId="30" fillId="0" fontId="29" numFmtId="0" xfId="0" applyAlignment="1" applyBorder="1" applyFont="1">
      <alignment horizontal="center"/>
    </xf>
    <xf borderId="0" fillId="0" fontId="30" numFmtId="0" xfId="0" applyFont="1"/>
    <xf borderId="6" fillId="2" fontId="31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6" fillId="4" fontId="18" numFmtId="0" xfId="0" applyBorder="1" applyFont="1"/>
    <xf borderId="6" fillId="23" fontId="18" numFmtId="0" xfId="0" applyBorder="1" applyFill="1" applyFont="1"/>
    <xf borderId="38" fillId="21" fontId="32" numFmtId="0" xfId="0" applyAlignment="1" applyBorder="1" applyFont="1">
      <alignment shrinkToFit="0" vertical="center" wrapText="1"/>
    </xf>
    <xf borderId="6" fillId="0" fontId="17" numFmtId="0" xfId="0" applyAlignment="1" applyBorder="1" applyFont="1">
      <alignment horizontal="center"/>
    </xf>
    <xf borderId="0" fillId="3" fontId="33" numFmtId="0" xfId="0" applyFont="1"/>
    <xf borderId="6" fillId="5" fontId="17" numFmtId="0" xfId="0" applyBorder="1" applyFont="1"/>
    <xf borderId="15" fillId="4" fontId="18" numFmtId="0" xfId="0" applyBorder="1" applyFont="1"/>
    <xf borderId="39" fillId="21" fontId="32" numFmtId="0" xfId="0" applyAlignment="1" applyBorder="1" applyFont="1">
      <alignment shrinkToFit="0" vertical="center" wrapText="1"/>
    </xf>
    <xf borderId="11" fillId="0" fontId="18" numFmtId="0" xfId="0" applyBorder="1" applyFont="1"/>
    <xf borderId="15" fillId="23" fontId="18" numFmtId="0" xfId="0" applyBorder="1" applyFont="1"/>
    <xf borderId="6" fillId="0" fontId="17" numFmtId="0" xfId="0" applyAlignment="1" applyBorder="1" applyFont="1">
      <alignment horizontal="center" vertical="center"/>
    </xf>
    <xf borderId="6" fillId="0" fontId="18" numFmtId="0" xfId="0" applyAlignment="1" applyBorder="1" applyFont="1">
      <alignment shrinkToFit="0" wrapText="1"/>
    </xf>
    <xf borderId="6" fillId="0" fontId="18" numFmtId="0" xfId="0" applyAlignment="1" applyBorder="1" applyFont="1">
      <alignment horizontal="center"/>
    </xf>
    <xf borderId="11" fillId="0" fontId="18" numFmtId="0" xfId="0" applyAlignment="1" applyBorder="1" applyFont="1">
      <alignment horizontal="center"/>
    </xf>
    <xf borderId="6" fillId="21" fontId="32" numFmtId="0" xfId="0" applyAlignment="1" applyBorder="1" applyFont="1">
      <alignment shrinkToFit="0" vertical="center" wrapText="1"/>
    </xf>
    <xf borderId="6" fillId="5" fontId="18" numFmtId="0" xfId="0" applyBorder="1" applyFont="1"/>
    <xf borderId="15" fillId="21" fontId="32" numFmtId="0" xfId="0" applyAlignment="1" applyBorder="1" applyFont="1">
      <alignment shrinkToFit="0" vertical="center" wrapText="1"/>
    </xf>
    <xf borderId="6" fillId="24" fontId="20" numFmtId="0" xfId="0" applyAlignment="1" applyBorder="1" applyFill="1" applyFont="1">
      <alignment shrinkToFit="0" vertical="bottom" wrapText="0"/>
    </xf>
    <xf borderId="6" fillId="23" fontId="20" numFmtId="0" xfId="0" applyAlignment="1" applyBorder="1" applyFont="1">
      <alignment shrinkToFit="0" vertical="bottom" wrapText="0"/>
    </xf>
    <xf borderId="6" fillId="22" fontId="34" numFmtId="0" xfId="0" applyBorder="1" applyFont="1"/>
    <xf borderId="6" fillId="0" fontId="20" numFmtId="0" xfId="0" applyAlignment="1" applyBorder="1" applyFont="1">
      <alignment shrinkToFit="0" vertical="bottom" wrapText="0"/>
    </xf>
    <xf borderId="6" fillId="0" fontId="20" numFmtId="0" xfId="0" applyAlignment="1" applyBorder="1" applyFont="1">
      <alignment horizontal="center" shrinkToFit="0" vertical="bottom" wrapText="0"/>
    </xf>
    <xf borderId="6" fillId="0" fontId="35" numFmtId="0" xfId="0" applyAlignment="1" applyBorder="1" applyFont="1">
      <alignment horizontal="center" shrinkToFit="0" vertical="bottom" wrapText="0"/>
    </xf>
    <xf borderId="11" fillId="24" fontId="20" numFmtId="0" xfId="0" applyAlignment="1" applyBorder="1" applyFont="1">
      <alignment shrinkToFit="0" vertical="bottom" wrapText="0"/>
    </xf>
    <xf borderId="3" fillId="23" fontId="20" numFmtId="0" xfId="0" applyAlignment="1" applyBorder="1" applyFont="1">
      <alignment shrinkToFit="0" vertical="bottom" wrapText="0"/>
    </xf>
    <xf borderId="3" fillId="22" fontId="34" numFmtId="0" xfId="0" applyBorder="1" applyFont="1"/>
    <xf borderId="3" fillId="0" fontId="20" numFmtId="0" xfId="0" applyAlignment="1" applyBorder="1" applyFont="1">
      <alignment shrinkToFit="0" vertical="bottom" wrapText="0"/>
    </xf>
    <xf borderId="40" fillId="0" fontId="20" numFmtId="0" xfId="0" applyAlignment="1" applyBorder="1" applyFont="1">
      <alignment shrinkToFit="0" vertical="bottom" wrapText="0"/>
    </xf>
    <xf borderId="6" fillId="0" fontId="20" numFmtId="0" xfId="0" applyAlignment="1" applyBorder="1" applyFont="1">
      <alignment horizontal="center" vertical="bottom"/>
    </xf>
    <xf borderId="30" fillId="0" fontId="20" numFmtId="0" xfId="0" applyAlignment="1" applyBorder="1" applyFont="1">
      <alignment shrinkToFit="0" vertical="bottom" wrapText="0"/>
    </xf>
    <xf borderId="5" fillId="0" fontId="20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6" fillId="0" fontId="20" numFmtId="0" xfId="0" applyAlignment="1" applyBorder="1" applyFont="1">
      <alignment horizontal="center" shrinkToFit="0" wrapText="0"/>
    </xf>
    <xf borderId="5" fillId="0" fontId="20" numFmtId="0" xfId="0" applyAlignment="1" applyBorder="1" applyFont="1">
      <alignment horizontal="center" shrinkToFit="0" wrapText="0"/>
    </xf>
    <xf borderId="3" fillId="0" fontId="20" numFmtId="0" xfId="0" applyAlignment="1" applyBorder="1" applyFont="1">
      <alignment horizontal="center" shrinkToFit="0" wrapText="0"/>
    </xf>
    <xf borderId="6" fillId="5" fontId="20" numFmtId="0" xfId="0" applyAlignment="1" applyBorder="1" applyFont="1">
      <alignment shrinkToFit="0" vertical="bottom" wrapText="0"/>
    </xf>
    <xf borderId="12" fillId="24" fontId="20" numFmtId="0" xfId="0" applyAlignment="1" applyBorder="1" applyFont="1">
      <alignment shrinkToFit="0" vertical="bottom" wrapText="0"/>
    </xf>
    <xf borderId="7" fillId="6" fontId="3" numFmtId="0" xfId="0" applyAlignment="1" applyBorder="1" applyFont="1">
      <alignment horizontal="center" vertical="center"/>
    </xf>
    <xf borderId="0" fillId="0" fontId="10" numFmtId="0" xfId="0" applyAlignment="1" applyFont="1">
      <alignment horizontal="center"/>
    </xf>
    <xf borderId="30" fillId="0" fontId="7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shrinkToFit="0" vertical="top" wrapText="0"/>
    </xf>
    <xf borderId="0" fillId="0" fontId="20" numFmtId="0" xfId="0" applyAlignment="1" applyFont="1">
      <alignment shrinkToFit="0" vertical="top" wrapText="0"/>
    </xf>
    <xf borderId="0" fillId="0" fontId="10" numFmtId="0" xfId="0" applyAlignment="1" applyFont="1">
      <alignment vertical="top"/>
    </xf>
    <xf borderId="6" fillId="6" fontId="36" numFmtId="0" xfId="0" applyAlignment="1" applyBorder="1" applyFont="1">
      <alignment horizontal="center" vertical="center"/>
    </xf>
    <xf borderId="6" fillId="6" fontId="37" numFmtId="0" xfId="0" applyAlignment="1" applyBorder="1" applyFont="1">
      <alignment horizontal="center" shrinkToFit="0" vertical="center" wrapText="0"/>
    </xf>
    <xf borderId="7" fillId="6" fontId="37" numFmtId="0" xfId="0" applyAlignment="1" applyBorder="1" applyFont="1">
      <alignment horizontal="center" shrinkToFit="0" vertical="top" wrapText="0"/>
    </xf>
    <xf borderId="4" fillId="3" fontId="37" numFmtId="0" xfId="0" applyAlignment="1" applyBorder="1" applyFont="1">
      <alignment horizontal="center" shrinkToFit="0" vertical="center" wrapText="0"/>
    </xf>
    <xf borderId="0" fillId="3" fontId="37" numFmtId="0" xfId="0" applyAlignment="1" applyFont="1">
      <alignment horizontal="center" shrinkToFit="0" vertical="top" wrapText="0"/>
    </xf>
    <xf borderId="6" fillId="23" fontId="20" numFmtId="0" xfId="0" applyAlignment="1" applyBorder="1" applyFont="1">
      <alignment horizontal="center" shrinkToFit="0" vertical="center" wrapText="0"/>
    </xf>
    <xf borderId="6" fillId="22" fontId="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shrinkToFit="0" vertical="top" wrapText="0"/>
    </xf>
    <xf borderId="4" fillId="0" fontId="5" numFmtId="0" xfId="0" applyAlignment="1" applyBorder="1" applyFont="1">
      <alignment horizontal="center" shrinkToFit="0" vertical="center" wrapText="0"/>
    </xf>
    <xf borderId="6" fillId="4" fontId="3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left" shrinkToFit="0" vertical="center" wrapText="0"/>
    </xf>
    <xf borderId="6" fillId="0" fontId="30" numFmtId="0" xfId="0" applyAlignment="1" applyBorder="1" applyFont="1">
      <alignment horizontal="center"/>
    </xf>
    <xf borderId="7" fillId="0" fontId="5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6" fillId="4" fontId="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shrinkToFit="0" vertical="top" wrapText="0"/>
    </xf>
    <xf borderId="7" fillId="0" fontId="4" numFmtId="0" xfId="0" applyAlignment="1" applyBorder="1" applyFont="1">
      <alignment vertical="top"/>
    </xf>
    <xf borderId="6" fillId="4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vertical="center"/>
    </xf>
    <xf borderId="6" fillId="7" fontId="4" numFmtId="0" xfId="0" applyAlignment="1" applyBorder="1" applyFont="1">
      <alignment horizontal="center" vertical="center"/>
    </xf>
    <xf borderId="6" fillId="5" fontId="35" numFmtId="0" xfId="0" applyAlignment="1" applyBorder="1" applyFont="1">
      <alignment horizontal="center" shrinkToFit="0" vertical="center" wrapText="0"/>
    </xf>
    <xf borderId="6" fillId="0" fontId="10" numFmtId="0" xfId="0" applyAlignment="1" applyBorder="1" applyFont="1">
      <alignment horizontal="left" vertical="center"/>
    </xf>
    <xf borderId="7" fillId="0" fontId="10" numFmtId="0" xfId="0" applyAlignment="1" applyBorder="1" applyFont="1">
      <alignment vertical="top"/>
    </xf>
    <xf borderId="6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30" fillId="0" fontId="29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6" fillId="2" fontId="31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6" fillId="25" fontId="38" numFmtId="0" xfId="0" applyBorder="1" applyFill="1" applyFont="1"/>
    <xf borderId="6" fillId="0" fontId="4" numFmtId="0" xfId="0" applyBorder="1" applyFont="1"/>
    <xf borderId="6" fillId="0" fontId="39" numFmtId="0" xfId="0" applyBorder="1" applyFont="1"/>
    <xf borderId="0" fillId="0" fontId="40" numFmtId="0" xfId="0" applyFont="1"/>
    <xf borderId="7" fillId="25" fontId="41" numFmtId="0" xfId="0" applyAlignment="1" applyBorder="1" applyFont="1">
      <alignment horizontal="center" shrinkToFit="0" vertical="bottom" wrapText="0"/>
    </xf>
    <xf borderId="40" fillId="0" fontId="2" numFmtId="0" xfId="0" applyBorder="1" applyFont="1"/>
    <xf borderId="1" fillId="25" fontId="41" numFmtId="0" xfId="0" applyAlignment="1" applyBorder="1" applyFont="1">
      <alignment horizontal="center" shrinkToFit="0" vertical="bottom" wrapText="0"/>
    </xf>
    <xf borderId="11" fillId="25" fontId="41" numFmtId="0" xfId="0" applyAlignment="1" applyBorder="1" applyFont="1">
      <alignment horizontal="center" shrinkToFit="0" wrapText="0"/>
    </xf>
    <xf borderId="6" fillId="26" fontId="41" numFmtId="0" xfId="0" applyAlignment="1" applyBorder="1" applyFill="1" applyFont="1">
      <alignment horizontal="center" shrinkToFit="0" vertical="bottom" wrapText="0"/>
    </xf>
    <xf borderId="7" fillId="0" fontId="42" numFmtId="0" xfId="0" applyAlignment="1" applyBorder="1" applyFont="1">
      <alignment horizontal="center" shrinkToFit="0" vertical="bottom" wrapText="0"/>
    </xf>
    <xf borderId="6" fillId="0" fontId="42" numFmtId="0" xfId="0" applyAlignment="1" applyBorder="1" applyFont="1">
      <alignment horizontal="center" shrinkToFit="0" vertical="bottom" wrapText="0"/>
    </xf>
    <xf borderId="6" fillId="27" fontId="20" numFmtId="0" xfId="0" applyAlignment="1" applyBorder="1" applyFill="1" applyFont="1">
      <alignment shrinkToFit="0" vertical="bottom" wrapText="0"/>
    </xf>
    <xf borderId="6" fillId="0" fontId="20" numFmtId="0" xfId="0" applyAlignment="1" applyBorder="1" applyFont="1">
      <alignment horizontal="right" shrinkToFit="0" vertical="bottom" wrapText="0"/>
    </xf>
    <xf borderId="0" fillId="28" fontId="43" numFmtId="0" xfId="0" applyAlignment="1" applyFill="1" applyFont="1">
      <alignment horizontal="center" readingOrder="0"/>
    </xf>
    <xf borderId="7" fillId="29" fontId="44" numFmtId="0" xfId="0" applyAlignment="1" applyBorder="1" applyFill="1" applyFont="1">
      <alignment horizontal="center" readingOrder="0"/>
    </xf>
    <xf borderId="41" fillId="0" fontId="45" numFmtId="0" xfId="0" applyAlignment="1" applyBorder="1" applyFont="1">
      <alignment readingOrder="0"/>
    </xf>
    <xf borderId="41" fillId="0" fontId="46" numFmtId="0" xfId="0" applyAlignment="1" applyBorder="1" applyFont="1">
      <alignment readingOrder="0"/>
    </xf>
    <xf borderId="41" fillId="0" fontId="46" numFmtId="9" xfId="0" applyAlignment="1" applyBorder="1" applyFont="1" applyNumberFormat="1">
      <alignment horizontal="right" readingOrder="0"/>
    </xf>
    <xf borderId="0" fillId="30" fontId="46" numFmtId="0" xfId="0" applyAlignment="1" applyFill="1" applyFont="1">
      <alignment shrinkToFit="0" vertical="bottom" wrapText="0"/>
    </xf>
    <xf borderId="42" fillId="30" fontId="45" numFmtId="0" xfId="0" applyAlignment="1" applyBorder="1" applyFont="1">
      <alignment horizontal="center" readingOrder="0" shrinkToFit="0" wrapText="0"/>
    </xf>
    <xf borderId="43" fillId="0" fontId="46" numFmtId="0" xfId="0" applyAlignment="1" applyBorder="1" applyFont="1">
      <alignment shrinkToFit="0" vertical="bottom" wrapText="0"/>
    </xf>
    <xf borderId="41" fillId="0" fontId="46" numFmtId="0" xfId="0" applyAlignment="1" applyBorder="1" applyFont="1">
      <alignment shrinkToFit="0" vertical="bottom" wrapText="0"/>
    </xf>
    <xf borderId="41" fillId="31" fontId="46" numFmtId="0" xfId="0" applyAlignment="1" applyBorder="1" applyFill="1" applyFont="1">
      <alignment shrinkToFit="0" vertical="bottom" wrapText="0"/>
    </xf>
    <xf borderId="41" fillId="31" fontId="45" numFmtId="0" xfId="0" applyAlignment="1" applyBorder="1" applyFont="1">
      <alignment horizontal="center" readingOrder="0" shrinkToFit="0" wrapText="0"/>
    </xf>
    <xf borderId="41" fillId="32" fontId="45" numFmtId="0" xfId="0" applyAlignment="1" applyBorder="1" applyFill="1" applyFont="1">
      <alignment horizontal="center" readingOrder="0" shrinkToFit="0" wrapText="0"/>
    </xf>
    <xf borderId="41" fillId="32" fontId="46" numFmtId="0" xfId="0" applyAlignment="1" applyBorder="1" applyFont="1">
      <alignment shrinkToFit="0" vertical="bottom" wrapText="0"/>
    </xf>
    <xf borderId="41" fillId="33" fontId="46" numFmtId="0" xfId="0" applyAlignment="1" applyBorder="1" applyFill="1" applyFont="1">
      <alignment shrinkToFit="0" vertical="bottom" wrapText="0"/>
    </xf>
    <xf borderId="41" fillId="33" fontId="45" numFmtId="0" xfId="0" applyAlignment="1" applyBorder="1" applyFont="1">
      <alignment horizontal="center" readingOrder="0" shrinkToFit="0" wrapText="0"/>
    </xf>
    <xf borderId="41" fillId="34" fontId="46" numFmtId="0" xfId="0" applyAlignment="1" applyBorder="1" applyFill="1" applyFont="1">
      <alignment shrinkToFit="0" vertical="bottom" wrapText="0"/>
    </xf>
    <xf borderId="41" fillId="34" fontId="45" numFmtId="0" xfId="0" applyAlignment="1" applyBorder="1" applyFont="1">
      <alignment horizontal="center" readingOrder="0" shrinkToFit="0" wrapText="0"/>
    </xf>
    <xf borderId="41" fillId="35" fontId="46" numFmtId="0" xfId="0" applyAlignment="1" applyBorder="1" applyFill="1" applyFont="1">
      <alignment shrinkToFit="0" vertical="bottom" wrapText="0"/>
    </xf>
    <xf borderId="41" fillId="35" fontId="45" numFmtId="0" xfId="0" applyAlignment="1" applyBorder="1" applyFont="1">
      <alignment horizontal="center" readingOrder="0" shrinkToFit="0" wrapText="0"/>
    </xf>
    <xf borderId="41" fillId="36" fontId="45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Test Case Tested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9F2D0"/>
              </a:solidFill>
            </c:spPr>
          </c:dPt>
          <c:dPt>
            <c:idx val="1"/>
            <c:spPr>
              <a:solidFill>
                <a:srgbClr val="FF505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Report Summary'!$D$7:$D$8</c:f>
            </c:strRef>
          </c:cat>
          <c:val>
            <c:numRef>
              <c:f>'Test Report Summary'!$E$7:$E$8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Test Case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9F2D0"/>
              </a:solidFill>
            </c:spPr>
          </c:dPt>
          <c:dPt>
            <c:idx val="1"/>
            <c:spPr>
              <a:solidFill>
                <a:srgbClr val="FF505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Case (Unit)'!$D$2:$D$3</c:f>
            </c:strRef>
          </c:cat>
          <c:val>
            <c:numRef>
              <c:f>'Test Case (Unit)'!$E$2:$E$3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Test Case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9F2D0"/>
              </a:solidFill>
            </c:spPr>
          </c:dPt>
          <c:dPt>
            <c:idx val="1"/>
            <c:spPr>
              <a:solidFill>
                <a:srgbClr val="FF505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Case (API, INTG)'!$G$5:$G$6</c:f>
            </c:strRef>
          </c:cat>
          <c:val>
            <c:numRef>
              <c:f>'Test Case (API, INTG)'!$H$5:$H$6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4</xdr:row>
      <xdr:rowOff>9525</xdr:rowOff>
    </xdr:from>
    <xdr:ext cx="3124200" cy="1943100"/>
    <xdr:graphicFrame>
      <xdr:nvGraphicFramePr>
        <xdr:cNvPr id="191979157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400050</xdr:colOff>
      <xdr:row>0</xdr:row>
      <xdr:rowOff>19050</xdr:rowOff>
    </xdr:from>
    <xdr:ext cx="2771775" cy="1714500"/>
    <xdr:graphicFrame>
      <xdr:nvGraphicFramePr>
        <xdr:cNvPr id="124992374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276225</xdr:colOff>
      <xdr:row>0</xdr:row>
      <xdr:rowOff>0</xdr:rowOff>
    </xdr:from>
    <xdr:ext cx="2590800" cy="1600200"/>
    <xdr:graphicFrame>
      <xdr:nvGraphicFramePr>
        <xdr:cNvPr id="104910588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40.0"/>
    <col customWidth="1" min="3" max="3" width="26.0"/>
    <col customWidth="1" min="4" max="4" width="25.43"/>
    <col customWidth="1" min="5" max="5" width="23.0"/>
    <col customWidth="1" min="6" max="6" width="14.43"/>
    <col customWidth="1" min="8" max="8" width="23.86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3"/>
      <c r="I1" s="4"/>
    </row>
    <row r="2" ht="15.75" customHeight="1">
      <c r="A2" s="5"/>
      <c r="H2" s="6"/>
      <c r="I2" s="7"/>
      <c r="J2" s="7"/>
    </row>
    <row r="3" ht="15.75" customHeight="1">
      <c r="A3" s="8"/>
      <c r="B3" s="9"/>
      <c r="C3" s="9"/>
      <c r="D3" s="9"/>
      <c r="E3" s="9"/>
      <c r="F3" s="9"/>
      <c r="G3" s="9"/>
      <c r="H3" s="10"/>
      <c r="I3" s="11"/>
      <c r="J3" s="7"/>
    </row>
    <row r="4" ht="15.75" customHeight="1">
      <c r="A4" s="12"/>
      <c r="B4" s="12"/>
      <c r="C4" s="12"/>
      <c r="D4" s="12"/>
      <c r="E4" s="12"/>
      <c r="F4" s="12"/>
      <c r="G4" s="12"/>
      <c r="H4" s="12"/>
    </row>
    <row r="5" ht="15.75" customHeight="1">
      <c r="A5" s="13" t="s">
        <v>1</v>
      </c>
      <c r="B5" s="14" t="s">
        <v>2</v>
      </c>
      <c r="C5" s="11"/>
      <c r="D5" s="15" t="s">
        <v>3</v>
      </c>
      <c r="E5" s="16"/>
      <c r="F5" s="17"/>
      <c r="G5" s="17"/>
      <c r="H5" s="17"/>
    </row>
    <row r="6" ht="15.75" customHeight="1">
      <c r="A6" s="13" t="s">
        <v>4</v>
      </c>
      <c r="B6" s="14" t="s">
        <v>5</v>
      </c>
      <c r="C6" s="18"/>
      <c r="D6" s="19" t="s">
        <v>6</v>
      </c>
      <c r="E6" s="19">
        <f>SUM(D14:D15)+SUM(D20:D24)+SUM(D28:D29)+G20</f>
        <v>303</v>
      </c>
      <c r="F6" s="17"/>
      <c r="G6" s="17"/>
      <c r="H6" s="17"/>
    </row>
    <row r="7" ht="15.0" customHeight="1">
      <c r="A7" s="13" t="s">
        <v>7</v>
      </c>
      <c r="B7" s="14" t="s">
        <v>8</v>
      </c>
      <c r="C7" s="18"/>
      <c r="D7" s="19" t="s">
        <v>9</v>
      </c>
      <c r="E7" s="20">
        <f>D14+SUM(D20:D23)+D28</f>
        <v>289</v>
      </c>
      <c r="F7" s="17"/>
      <c r="G7" s="17"/>
      <c r="H7" s="17"/>
    </row>
    <row r="8" ht="15.75" customHeight="1">
      <c r="C8" s="21"/>
      <c r="D8" s="19" t="s">
        <v>10</v>
      </c>
      <c r="E8" s="22">
        <f>D15+D24</f>
        <v>10</v>
      </c>
      <c r="F8" s="17"/>
      <c r="G8" s="17"/>
      <c r="H8" s="17"/>
    </row>
    <row r="9" ht="15.75" customHeight="1">
      <c r="A9" s="13" t="s">
        <v>11</v>
      </c>
      <c r="B9" s="14" t="s">
        <v>12</v>
      </c>
      <c r="C9" s="21"/>
      <c r="E9" s="17"/>
      <c r="F9" s="17"/>
      <c r="G9" s="17"/>
      <c r="H9" s="17"/>
    </row>
    <row r="10" ht="15.75" customHeight="1">
      <c r="A10" s="13" t="s">
        <v>13</v>
      </c>
      <c r="B10" s="14" t="s">
        <v>14</v>
      </c>
      <c r="C10" s="11"/>
      <c r="D10" s="17"/>
      <c r="E10" s="17"/>
      <c r="F10" s="17"/>
      <c r="G10" s="17"/>
      <c r="H10" s="17"/>
    </row>
    <row r="11" ht="15.75" customHeight="1">
      <c r="A11" s="18"/>
      <c r="B11" s="18"/>
      <c r="C11" s="23"/>
      <c r="D11" s="17"/>
      <c r="E11" s="17"/>
      <c r="F11" s="17"/>
      <c r="G11" s="17"/>
      <c r="H11" s="17"/>
    </row>
    <row r="12" ht="15.75" customHeight="1">
      <c r="A12" s="18"/>
      <c r="B12" s="18"/>
      <c r="C12" s="23"/>
      <c r="D12" s="17"/>
      <c r="E12" s="17"/>
      <c r="F12" s="17"/>
      <c r="G12" s="17"/>
      <c r="H12" s="17"/>
    </row>
    <row r="13" ht="15.75" customHeight="1">
      <c r="A13" s="24" t="s">
        <v>15</v>
      </c>
      <c r="B13" s="3"/>
      <c r="C13" s="25" t="s">
        <v>16</v>
      </c>
      <c r="D13" s="26" t="s">
        <v>17</v>
      </c>
    </row>
    <row r="14" ht="15.75" customHeight="1">
      <c r="A14" s="5"/>
      <c r="B14" s="6"/>
      <c r="C14" s="27" t="s">
        <v>9</v>
      </c>
      <c r="D14" s="28">
        <v>223.0</v>
      </c>
    </row>
    <row r="15" ht="15.75" customHeight="1">
      <c r="A15" s="5"/>
      <c r="B15" s="6"/>
      <c r="C15" s="29" t="s">
        <v>10</v>
      </c>
      <c r="D15" s="28">
        <v>4.0</v>
      </c>
    </row>
    <row r="16" ht="15.75" customHeight="1">
      <c r="A16" s="30"/>
      <c r="B16" s="31"/>
      <c r="C16" s="32" t="s">
        <v>18</v>
      </c>
      <c r="D16" s="32"/>
    </row>
    <row r="17" ht="15.75" customHeight="1"/>
    <row r="18" ht="15.75" customHeight="1"/>
    <row r="19" ht="15.75" customHeight="1">
      <c r="A19" s="24" t="s">
        <v>19</v>
      </c>
      <c r="B19" s="3"/>
      <c r="C19" s="33" t="s">
        <v>20</v>
      </c>
      <c r="D19" s="34" t="s">
        <v>17</v>
      </c>
      <c r="E19" s="32" t="s">
        <v>21</v>
      </c>
      <c r="F19" s="35" t="s">
        <v>20</v>
      </c>
      <c r="G19" s="35" t="s">
        <v>17</v>
      </c>
      <c r="H19" s="36" t="s">
        <v>22</v>
      </c>
    </row>
    <row r="20" ht="15.75" customHeight="1">
      <c r="A20" s="5"/>
      <c r="B20" s="6"/>
      <c r="C20" s="37">
        <v>200.0</v>
      </c>
      <c r="D20" s="28">
        <v>47.0</v>
      </c>
      <c r="F20" s="38" t="s">
        <v>23</v>
      </c>
      <c r="G20" s="39">
        <v>4.0</v>
      </c>
    </row>
    <row r="21" ht="18.0" customHeight="1">
      <c r="A21" s="5"/>
      <c r="B21" s="6"/>
      <c r="C21" s="37">
        <v>201.0</v>
      </c>
      <c r="D21" s="28">
        <v>11.0</v>
      </c>
      <c r="F21" s="36"/>
      <c r="G21" s="36"/>
    </row>
    <row r="22" ht="15.75" customHeight="1">
      <c r="A22" s="5"/>
      <c r="B22" s="6"/>
      <c r="C22" s="40" t="s">
        <v>9</v>
      </c>
      <c r="D22" s="28">
        <v>3.0</v>
      </c>
      <c r="F22" s="4"/>
    </row>
    <row r="23" ht="15.75" customHeight="1">
      <c r="A23" s="5"/>
      <c r="B23" s="6"/>
      <c r="C23" s="40">
        <v>404.0</v>
      </c>
      <c r="D23" s="28">
        <v>5.0</v>
      </c>
      <c r="F23" s="7"/>
      <c r="G23" s="7"/>
    </row>
    <row r="24" ht="15.75" customHeight="1">
      <c r="A24" s="30"/>
      <c r="B24" s="31"/>
      <c r="C24" s="41">
        <v>500.0</v>
      </c>
      <c r="D24" s="28">
        <v>6.0</v>
      </c>
      <c r="F24" s="11"/>
      <c r="G24" s="7"/>
    </row>
    <row r="25" ht="15.75" customHeight="1"/>
    <row r="26" ht="15.75" customHeight="1"/>
    <row r="27" ht="15.75" customHeight="1">
      <c r="A27" s="24" t="s">
        <v>24</v>
      </c>
      <c r="B27" s="3"/>
      <c r="C27" s="42" t="s">
        <v>16</v>
      </c>
      <c r="D27" s="43" t="s">
        <v>17</v>
      </c>
    </row>
    <row r="28" ht="15.75" customHeight="1">
      <c r="A28" s="5"/>
      <c r="B28" s="6"/>
      <c r="C28" s="44" t="s">
        <v>9</v>
      </c>
      <c r="D28" s="45">
        <f>COUNTIF('Test Case (System)'!A:A,"Pass")</f>
        <v>0</v>
      </c>
    </row>
    <row r="29" ht="15.75" customHeight="1">
      <c r="A29" s="5"/>
      <c r="B29" s="6"/>
      <c r="C29" s="46" t="s">
        <v>10</v>
      </c>
      <c r="D29" s="45">
        <f>COUNTIF('Test Case (System)'!A:A,"Fail")</f>
        <v>0</v>
      </c>
    </row>
    <row r="30" ht="15.75" customHeight="1">
      <c r="A30" s="30"/>
      <c r="B30" s="31"/>
      <c r="C30" s="47" t="s">
        <v>25</v>
      </c>
      <c r="D30" s="48"/>
    </row>
    <row r="31" ht="15.75" customHeight="1"/>
    <row r="32" ht="15.75" customHeight="1">
      <c r="A32" s="49" t="s">
        <v>26</v>
      </c>
    </row>
    <row r="33" ht="15.75" customHeight="1">
      <c r="A33" s="50" t="s">
        <v>27</v>
      </c>
      <c r="B33" s="50" t="s">
        <v>28</v>
      </c>
      <c r="C33" s="50" t="s">
        <v>29</v>
      </c>
      <c r="D33" s="50" t="s">
        <v>30</v>
      </c>
      <c r="E33" s="50" t="s">
        <v>31</v>
      </c>
      <c r="F33" s="50" t="s">
        <v>16</v>
      </c>
      <c r="G33" s="51"/>
      <c r="H33" s="51"/>
    </row>
    <row r="34" ht="15.75" customHeight="1">
      <c r="A34" s="52" t="s">
        <v>32</v>
      </c>
      <c r="B34" s="52" t="s">
        <v>33</v>
      </c>
      <c r="C34" s="52" t="s">
        <v>34</v>
      </c>
      <c r="D34" s="53" t="s">
        <v>35</v>
      </c>
      <c r="E34" s="54" t="s">
        <v>36</v>
      </c>
      <c r="F34" s="55" t="s">
        <v>37</v>
      </c>
      <c r="G34" s="56"/>
      <c r="H34" s="56"/>
    </row>
    <row r="35" ht="15.75" customHeight="1">
      <c r="A35" s="57"/>
      <c r="B35" s="57"/>
      <c r="C35" s="57"/>
      <c r="D35" s="57"/>
      <c r="E35" s="57"/>
      <c r="F35" s="57"/>
      <c r="G35" s="56"/>
      <c r="H35" s="56"/>
    </row>
    <row r="36" ht="15.75" customHeight="1">
      <c r="A36" s="58"/>
      <c r="B36" s="58"/>
      <c r="C36" s="58"/>
      <c r="D36" s="58"/>
      <c r="E36" s="58"/>
      <c r="F36" s="58"/>
      <c r="G36" s="56"/>
      <c r="H36" s="59"/>
    </row>
    <row r="37" ht="15.75" customHeight="1">
      <c r="A37" s="52" t="s">
        <v>38</v>
      </c>
      <c r="B37" s="52" t="s">
        <v>39</v>
      </c>
      <c r="C37" s="52" t="s">
        <v>40</v>
      </c>
      <c r="D37" s="60" t="s">
        <v>41</v>
      </c>
      <c r="E37" s="61" t="s">
        <v>42</v>
      </c>
      <c r="F37" s="55" t="s">
        <v>37</v>
      </c>
      <c r="G37" s="56"/>
      <c r="H37" s="56"/>
    </row>
    <row r="38" ht="15.75" customHeight="1">
      <c r="A38" s="57"/>
      <c r="B38" s="57"/>
      <c r="C38" s="57"/>
      <c r="D38" s="57"/>
      <c r="E38" s="57"/>
      <c r="F38" s="57"/>
      <c r="G38" s="56"/>
      <c r="H38" s="56"/>
    </row>
    <row r="39" ht="15.75" customHeight="1">
      <c r="A39" s="58"/>
      <c r="B39" s="58"/>
      <c r="C39" s="58"/>
      <c r="D39" s="58"/>
      <c r="E39" s="58"/>
      <c r="F39" s="58"/>
      <c r="G39" s="56"/>
      <c r="H39" s="59"/>
    </row>
    <row r="40" ht="15.75" customHeight="1">
      <c r="A40" s="52" t="s">
        <v>43</v>
      </c>
      <c r="B40" s="52" t="s">
        <v>44</v>
      </c>
      <c r="C40" s="52" t="s">
        <v>45</v>
      </c>
      <c r="D40" s="60" t="s">
        <v>41</v>
      </c>
      <c r="E40" s="61" t="s">
        <v>42</v>
      </c>
      <c r="F40" s="55" t="s">
        <v>37</v>
      </c>
      <c r="G40" s="56"/>
      <c r="H40" s="59"/>
    </row>
    <row r="41" ht="15.75" customHeight="1">
      <c r="A41" s="57"/>
      <c r="B41" s="57"/>
      <c r="C41" s="57"/>
      <c r="D41" s="57"/>
      <c r="E41" s="57"/>
      <c r="F41" s="57"/>
      <c r="G41" s="56"/>
      <c r="H41" s="56"/>
    </row>
    <row r="42" ht="15.75" customHeight="1">
      <c r="A42" s="58"/>
      <c r="B42" s="58"/>
      <c r="C42" s="58"/>
      <c r="D42" s="58"/>
      <c r="E42" s="58"/>
      <c r="F42" s="58"/>
      <c r="G42" s="56"/>
      <c r="H42" s="59"/>
    </row>
    <row r="43" ht="15.75" customHeight="1">
      <c r="A43" s="52" t="s">
        <v>46</v>
      </c>
      <c r="B43" s="52" t="s">
        <v>47</v>
      </c>
      <c r="C43" s="52" t="s">
        <v>48</v>
      </c>
      <c r="D43" s="62" t="s">
        <v>41</v>
      </c>
      <c r="E43" s="63" t="s">
        <v>42</v>
      </c>
      <c r="F43" s="64" t="s">
        <v>37</v>
      </c>
      <c r="G43" s="56"/>
      <c r="H43" s="65"/>
    </row>
    <row r="44" ht="15.75" customHeight="1">
      <c r="A44" s="57"/>
      <c r="B44" s="57"/>
      <c r="C44" s="57"/>
      <c r="D44" s="57"/>
      <c r="E44" s="57"/>
      <c r="F44" s="57"/>
      <c r="G44" s="56"/>
      <c r="H44" s="56"/>
    </row>
    <row r="45" ht="15.75" customHeight="1">
      <c r="A45" s="58"/>
      <c r="B45" s="58"/>
      <c r="C45" s="58"/>
      <c r="D45" s="58"/>
      <c r="E45" s="58"/>
      <c r="F45" s="58"/>
      <c r="G45" s="56"/>
      <c r="H45" s="65"/>
    </row>
    <row r="46" ht="15.75" customHeight="1">
      <c r="A46" s="66" t="s">
        <v>49</v>
      </c>
      <c r="B46" s="66" t="s">
        <v>50</v>
      </c>
      <c r="C46" s="66" t="s">
        <v>51</v>
      </c>
      <c r="D46" s="67" t="s">
        <v>42</v>
      </c>
      <c r="E46" s="68" t="s">
        <v>42</v>
      </c>
      <c r="F46" s="69" t="s">
        <v>37</v>
      </c>
      <c r="G46" s="56"/>
      <c r="H46" s="70"/>
    </row>
    <row r="47" ht="15.75" customHeight="1">
      <c r="A47" s="66" t="s">
        <v>52</v>
      </c>
      <c r="B47" s="66" t="s">
        <v>53</v>
      </c>
      <c r="C47" s="66" t="s">
        <v>51</v>
      </c>
      <c r="D47" s="67" t="s">
        <v>42</v>
      </c>
      <c r="E47" s="68" t="s">
        <v>42</v>
      </c>
      <c r="F47" s="69" t="s">
        <v>37</v>
      </c>
      <c r="G47" s="56"/>
      <c r="H47" s="70"/>
    </row>
    <row r="48" ht="15.75" customHeight="1">
      <c r="A48" s="66" t="s">
        <v>54</v>
      </c>
      <c r="B48" s="66" t="s">
        <v>55</v>
      </c>
      <c r="C48" s="66" t="s">
        <v>51</v>
      </c>
      <c r="D48" s="67" t="s">
        <v>42</v>
      </c>
      <c r="E48" s="68" t="s">
        <v>42</v>
      </c>
      <c r="F48" s="69" t="s">
        <v>37</v>
      </c>
      <c r="G48" s="56"/>
      <c r="H48" s="70"/>
    </row>
    <row r="49" ht="15.75" customHeight="1">
      <c r="A49" s="66" t="s">
        <v>56</v>
      </c>
      <c r="B49" s="66" t="s">
        <v>57</v>
      </c>
      <c r="C49" s="66" t="s">
        <v>51</v>
      </c>
      <c r="D49" s="67" t="s">
        <v>42</v>
      </c>
      <c r="E49" s="68" t="s">
        <v>42</v>
      </c>
      <c r="F49" s="69" t="s">
        <v>37</v>
      </c>
      <c r="G49" s="56"/>
      <c r="H49" s="70"/>
    </row>
    <row r="50" ht="15.75" customHeight="1">
      <c r="A50" s="66" t="s">
        <v>58</v>
      </c>
      <c r="B50" s="66" t="s">
        <v>59</v>
      </c>
      <c r="C50" s="66" t="s">
        <v>51</v>
      </c>
      <c r="D50" s="67" t="s">
        <v>42</v>
      </c>
      <c r="E50" s="68" t="s">
        <v>42</v>
      </c>
      <c r="F50" s="69" t="s">
        <v>37</v>
      </c>
      <c r="G50" s="56"/>
      <c r="H50" s="70"/>
    </row>
    <row r="51" ht="15.75" customHeight="1">
      <c r="A51" s="66" t="s">
        <v>60</v>
      </c>
      <c r="B51" s="66" t="s">
        <v>61</v>
      </c>
      <c r="C51" s="66" t="s">
        <v>51</v>
      </c>
      <c r="D51" s="67" t="s">
        <v>42</v>
      </c>
      <c r="E51" s="71" t="s">
        <v>62</v>
      </c>
      <c r="F51" s="69" t="s">
        <v>37</v>
      </c>
      <c r="G51" s="56"/>
      <c r="H51" s="7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H2"/>
    <mergeCell ref="I1:J1"/>
    <mergeCell ref="D5:E5"/>
    <mergeCell ref="A13:B16"/>
    <mergeCell ref="E19:E24"/>
    <mergeCell ref="H19:H21"/>
    <mergeCell ref="F22:G22"/>
    <mergeCell ref="A19:B24"/>
    <mergeCell ref="A27:B30"/>
    <mergeCell ref="B34:B36"/>
    <mergeCell ref="C34:C36"/>
    <mergeCell ref="D34:D36"/>
    <mergeCell ref="E34:E36"/>
    <mergeCell ref="F34:F36"/>
    <mergeCell ref="A34:A36"/>
    <mergeCell ref="A37:A39"/>
    <mergeCell ref="B37:B39"/>
    <mergeCell ref="C37:C39"/>
    <mergeCell ref="D37:D39"/>
    <mergeCell ref="E37:E39"/>
    <mergeCell ref="F37:F39"/>
    <mergeCell ref="B43:B45"/>
    <mergeCell ref="C43:C45"/>
    <mergeCell ref="D43:D45"/>
    <mergeCell ref="E43:E45"/>
    <mergeCell ref="A40:A42"/>
    <mergeCell ref="B40:B42"/>
    <mergeCell ref="C40:C42"/>
    <mergeCell ref="D40:D42"/>
    <mergeCell ref="E40:E42"/>
    <mergeCell ref="F40:F42"/>
    <mergeCell ref="A43:A45"/>
    <mergeCell ref="F43:F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3" width="48.71"/>
    <col customWidth="1" min="4" max="4" width="53.57"/>
    <col customWidth="1" min="5" max="10" width="48.71"/>
    <col customWidth="1" min="11" max="11" width="29.29"/>
  </cols>
  <sheetData>
    <row r="1" ht="15.75" customHeight="1">
      <c r="A1" s="72" t="s">
        <v>63</v>
      </c>
      <c r="B1" s="73" t="s">
        <v>5</v>
      </c>
      <c r="C1" s="73"/>
      <c r="D1" s="73"/>
      <c r="E1" s="73"/>
      <c r="F1" s="73"/>
      <c r="G1" s="73"/>
      <c r="H1" s="73"/>
      <c r="I1" s="73"/>
      <c r="J1" s="73"/>
      <c r="K1" s="73"/>
    </row>
    <row r="2" ht="15.75" customHeight="1">
      <c r="A2" s="50" t="s">
        <v>27</v>
      </c>
      <c r="B2" s="50" t="s">
        <v>28</v>
      </c>
      <c r="C2" s="50" t="s">
        <v>29</v>
      </c>
      <c r="D2" s="50" t="s">
        <v>64</v>
      </c>
      <c r="E2" s="50" t="s">
        <v>65</v>
      </c>
      <c r="F2" s="50" t="s">
        <v>66</v>
      </c>
      <c r="G2" s="50" t="s">
        <v>67</v>
      </c>
      <c r="H2" s="50" t="s">
        <v>68</v>
      </c>
      <c r="I2" s="50" t="s">
        <v>30</v>
      </c>
      <c r="J2" s="50" t="s">
        <v>31</v>
      </c>
      <c r="K2" s="50" t="s">
        <v>16</v>
      </c>
    </row>
    <row r="3" ht="15.75" customHeight="1">
      <c r="A3" s="52" t="s">
        <v>32</v>
      </c>
      <c r="B3" s="52" t="s">
        <v>33</v>
      </c>
      <c r="C3" s="52" t="s">
        <v>34</v>
      </c>
      <c r="D3" s="52" t="s">
        <v>69</v>
      </c>
      <c r="E3" s="74"/>
      <c r="F3" s="74"/>
      <c r="G3" s="74"/>
      <c r="H3" s="74"/>
      <c r="I3" s="75" t="s">
        <v>35</v>
      </c>
      <c r="J3" s="76" t="s">
        <v>36</v>
      </c>
      <c r="K3" s="77" t="s">
        <v>37</v>
      </c>
    </row>
    <row r="4" ht="15.75" customHeight="1">
      <c r="A4" s="57"/>
      <c r="B4" s="57"/>
      <c r="C4" s="57"/>
      <c r="D4" s="57"/>
      <c r="E4" s="78" t="s">
        <v>70</v>
      </c>
      <c r="F4" s="78" t="s">
        <v>71</v>
      </c>
      <c r="G4" s="78" t="s">
        <v>72</v>
      </c>
      <c r="H4" s="78" t="s">
        <v>73</v>
      </c>
      <c r="I4" s="79"/>
      <c r="J4" s="80"/>
      <c r="K4" s="80"/>
    </row>
    <row r="5" ht="15.75" customHeight="1">
      <c r="A5" s="58"/>
      <c r="B5" s="58"/>
      <c r="C5" s="58"/>
      <c r="D5" s="58"/>
      <c r="E5" s="81"/>
      <c r="F5" s="81"/>
      <c r="G5" s="81"/>
      <c r="H5" s="82"/>
      <c r="I5" s="83"/>
      <c r="J5" s="84"/>
      <c r="K5" s="84"/>
    </row>
    <row r="6" ht="45.0" customHeight="1">
      <c r="A6" s="52" t="s">
        <v>38</v>
      </c>
      <c r="B6" s="52" t="s">
        <v>39</v>
      </c>
      <c r="C6" s="52" t="s">
        <v>40</v>
      </c>
      <c r="D6" s="52" t="s">
        <v>69</v>
      </c>
      <c r="E6" s="74"/>
      <c r="F6" s="74" t="s">
        <v>74</v>
      </c>
      <c r="G6" s="74" t="s">
        <v>72</v>
      </c>
      <c r="H6" s="74" t="s">
        <v>75</v>
      </c>
      <c r="I6" s="85" t="s">
        <v>41</v>
      </c>
      <c r="J6" s="86" t="s">
        <v>42</v>
      </c>
      <c r="K6" s="77" t="s">
        <v>37</v>
      </c>
    </row>
    <row r="7" ht="15.75" customHeight="1">
      <c r="A7" s="57"/>
      <c r="B7" s="57"/>
      <c r="C7" s="57"/>
      <c r="D7" s="57"/>
      <c r="E7" s="78" t="s">
        <v>76</v>
      </c>
      <c r="F7" s="78" t="s">
        <v>77</v>
      </c>
      <c r="G7" s="78"/>
      <c r="H7" s="78"/>
      <c r="I7" s="79"/>
      <c r="J7" s="80"/>
      <c r="K7" s="80"/>
    </row>
    <row r="8" ht="15.75" customHeight="1">
      <c r="A8" s="58"/>
      <c r="B8" s="58"/>
      <c r="C8" s="58"/>
      <c r="D8" s="58"/>
      <c r="E8" s="78"/>
      <c r="F8" s="81"/>
      <c r="G8" s="78"/>
      <c r="H8" s="87"/>
      <c r="I8" s="83"/>
      <c r="J8" s="84"/>
      <c r="K8" s="84"/>
    </row>
    <row r="9" ht="15.75" customHeight="1">
      <c r="A9" s="52" t="s">
        <v>43</v>
      </c>
      <c r="B9" s="52" t="s">
        <v>44</v>
      </c>
      <c r="C9" s="52" t="s">
        <v>45</v>
      </c>
      <c r="D9" s="52" t="s">
        <v>69</v>
      </c>
      <c r="E9" s="88"/>
      <c r="F9" s="89" t="s">
        <v>74</v>
      </c>
      <c r="G9" s="89"/>
      <c r="H9" s="90"/>
      <c r="I9" s="85" t="s">
        <v>41</v>
      </c>
      <c r="J9" s="86" t="s">
        <v>42</v>
      </c>
      <c r="K9" s="77" t="s">
        <v>37</v>
      </c>
    </row>
    <row r="10" ht="15.75" customHeight="1">
      <c r="A10" s="57"/>
      <c r="B10" s="57"/>
      <c r="C10" s="57"/>
      <c r="D10" s="57"/>
      <c r="E10" s="91" t="s">
        <v>78</v>
      </c>
      <c r="F10" s="92" t="s">
        <v>77</v>
      </c>
      <c r="G10" s="92" t="s">
        <v>73</v>
      </c>
      <c r="H10" s="78" t="s">
        <v>79</v>
      </c>
      <c r="I10" s="79"/>
      <c r="J10" s="80"/>
      <c r="K10" s="80"/>
    </row>
    <row r="11" ht="15.75" customHeight="1">
      <c r="A11" s="58"/>
      <c r="B11" s="58"/>
      <c r="C11" s="58"/>
      <c r="D11" s="58"/>
      <c r="E11" s="93"/>
      <c r="F11" s="94"/>
      <c r="G11" s="94"/>
      <c r="H11" s="82"/>
      <c r="I11" s="83"/>
      <c r="J11" s="84"/>
      <c r="K11" s="84"/>
    </row>
    <row r="12" ht="15.0" customHeight="1">
      <c r="A12" s="52" t="s">
        <v>46</v>
      </c>
      <c r="B12" s="52" t="s">
        <v>47</v>
      </c>
      <c r="C12" s="52" t="s">
        <v>48</v>
      </c>
      <c r="D12" s="52" t="s">
        <v>69</v>
      </c>
      <c r="E12" s="95"/>
      <c r="F12" s="52"/>
      <c r="G12" s="96"/>
      <c r="H12" s="97"/>
      <c r="I12" s="98" t="s">
        <v>41</v>
      </c>
      <c r="J12" s="99" t="s">
        <v>42</v>
      </c>
      <c r="K12" s="100" t="s">
        <v>37</v>
      </c>
    </row>
    <row r="13" ht="15.0" customHeight="1">
      <c r="A13" s="57"/>
      <c r="B13" s="57"/>
      <c r="C13" s="57"/>
      <c r="D13" s="57"/>
      <c r="E13" s="101" t="s">
        <v>80</v>
      </c>
      <c r="F13" s="102"/>
      <c r="G13" s="103" t="s">
        <v>81</v>
      </c>
      <c r="H13" s="102" t="s">
        <v>82</v>
      </c>
      <c r="I13" s="5"/>
    </row>
    <row r="14" ht="15.75" customHeight="1">
      <c r="A14" s="58"/>
      <c r="B14" s="58"/>
      <c r="C14" s="58"/>
      <c r="D14" s="58"/>
      <c r="E14" s="104"/>
      <c r="F14" s="105"/>
      <c r="G14" s="106"/>
      <c r="H14" s="107"/>
      <c r="I14" s="30"/>
      <c r="J14" s="108"/>
      <c r="K14" s="108"/>
    </row>
    <row r="15" ht="15.75" customHeight="1">
      <c r="A15" s="52" t="s">
        <v>49</v>
      </c>
      <c r="B15" s="66" t="str">
        <f>IFERROR(__xludf.DUMMYFUNCTION("FILTER('Test Case (API, INTG)'!C10:C1000,('Test Case (API, INTG)'!A10:A1000=500))"),"TC-API-015")</f>
        <v>TC-API-015</v>
      </c>
      <c r="C15" s="66" t="s">
        <v>51</v>
      </c>
      <c r="D15" s="66" t="s">
        <v>83</v>
      </c>
      <c r="E15" s="66"/>
      <c r="F15" s="66" t="s">
        <v>84</v>
      </c>
      <c r="G15" s="66" t="s">
        <v>85</v>
      </c>
      <c r="H15" s="109" t="s">
        <v>86</v>
      </c>
      <c r="I15" s="67" t="s">
        <v>42</v>
      </c>
      <c r="J15" s="68" t="s">
        <v>42</v>
      </c>
      <c r="K15" s="69" t="s">
        <v>37</v>
      </c>
    </row>
    <row r="16" ht="15.75" customHeight="1">
      <c r="A16" s="52" t="s">
        <v>52</v>
      </c>
      <c r="B16" s="66" t="str">
        <f>IFERROR(__xludf.DUMMYFUNCTION("""COMPUTED_VALUE"""),"TC-API-025")</f>
        <v>TC-API-025</v>
      </c>
      <c r="C16" s="66" t="s">
        <v>51</v>
      </c>
      <c r="D16" s="66" t="s">
        <v>83</v>
      </c>
      <c r="E16" s="66"/>
      <c r="F16" s="66" t="s">
        <v>87</v>
      </c>
      <c r="G16" s="66" t="s">
        <v>85</v>
      </c>
      <c r="H16" s="109" t="s">
        <v>88</v>
      </c>
      <c r="I16" s="67" t="s">
        <v>42</v>
      </c>
      <c r="J16" s="68" t="s">
        <v>42</v>
      </c>
      <c r="K16" s="69" t="s">
        <v>37</v>
      </c>
    </row>
    <row r="17" ht="15.75" customHeight="1">
      <c r="A17" s="52" t="s">
        <v>54</v>
      </c>
      <c r="B17" s="66" t="str">
        <f>IFERROR(__xludf.DUMMYFUNCTION("""COMPUTED_VALUE"""),"TC-API-027")</f>
        <v>TC-API-027</v>
      </c>
      <c r="C17" s="66" t="s">
        <v>51</v>
      </c>
      <c r="D17" s="66" t="s">
        <v>83</v>
      </c>
      <c r="E17" s="66"/>
      <c r="F17" s="66" t="s">
        <v>89</v>
      </c>
      <c r="G17" s="66" t="s">
        <v>85</v>
      </c>
      <c r="H17" s="109" t="s">
        <v>88</v>
      </c>
      <c r="I17" s="67" t="s">
        <v>42</v>
      </c>
      <c r="J17" s="68" t="s">
        <v>42</v>
      </c>
      <c r="K17" s="69" t="s">
        <v>37</v>
      </c>
    </row>
    <row r="18" ht="15.75" customHeight="1">
      <c r="A18" s="52" t="s">
        <v>56</v>
      </c>
      <c r="B18" s="66" t="str">
        <f>IFERROR(__xludf.DUMMYFUNCTION("""COMPUTED_VALUE"""),"TC-API-031")</f>
        <v>TC-API-031</v>
      </c>
      <c r="C18" s="66" t="s">
        <v>51</v>
      </c>
      <c r="D18" s="66" t="s">
        <v>83</v>
      </c>
      <c r="E18" s="66"/>
      <c r="F18" s="66" t="s">
        <v>90</v>
      </c>
      <c r="G18" s="66" t="s">
        <v>85</v>
      </c>
      <c r="H18" s="109" t="s">
        <v>91</v>
      </c>
      <c r="I18" s="67" t="s">
        <v>42</v>
      </c>
      <c r="J18" s="68" t="s">
        <v>42</v>
      </c>
      <c r="K18" s="69" t="s">
        <v>37</v>
      </c>
    </row>
    <row r="19" ht="15.75" customHeight="1">
      <c r="A19" s="52" t="s">
        <v>58</v>
      </c>
      <c r="B19" s="66" t="str">
        <f>IFERROR(__xludf.DUMMYFUNCTION("""COMPUTED_VALUE"""),"TC-API-034")</f>
        <v>TC-API-034</v>
      </c>
      <c r="C19" s="66" t="s">
        <v>51</v>
      </c>
      <c r="D19" s="66" t="s">
        <v>83</v>
      </c>
      <c r="E19" s="66"/>
      <c r="F19" s="66" t="s">
        <v>92</v>
      </c>
      <c r="G19" s="66" t="s">
        <v>85</v>
      </c>
      <c r="H19" s="109" t="s">
        <v>93</v>
      </c>
      <c r="I19" s="67" t="s">
        <v>42</v>
      </c>
      <c r="J19" s="68" t="s">
        <v>42</v>
      </c>
      <c r="K19" s="69" t="s">
        <v>37</v>
      </c>
    </row>
    <row r="20" ht="15.75" customHeight="1">
      <c r="A20" s="52" t="s">
        <v>60</v>
      </c>
      <c r="B20" s="66" t="str">
        <f>IFERROR(__xludf.DUMMYFUNCTION("""COMPUTED_VALUE"""),"TC-API-038")</f>
        <v>TC-API-038</v>
      </c>
      <c r="C20" s="66" t="s">
        <v>51</v>
      </c>
      <c r="D20" s="66" t="s">
        <v>83</v>
      </c>
      <c r="E20" s="66"/>
      <c r="F20" s="66" t="s">
        <v>94</v>
      </c>
      <c r="G20" s="66" t="s">
        <v>85</v>
      </c>
      <c r="H20" s="109" t="s">
        <v>91</v>
      </c>
      <c r="I20" s="67" t="s">
        <v>42</v>
      </c>
      <c r="J20" s="71" t="s">
        <v>62</v>
      </c>
      <c r="K20" s="69" t="s">
        <v>37</v>
      </c>
    </row>
    <row r="21" ht="15.75" customHeight="1">
      <c r="A21" s="52"/>
      <c r="B21" s="66"/>
      <c r="C21" s="66"/>
      <c r="D21" s="66"/>
      <c r="E21" s="66"/>
      <c r="F21" s="66"/>
      <c r="G21" s="66"/>
      <c r="H21" s="66"/>
      <c r="I21" s="66"/>
      <c r="J21" s="66"/>
      <c r="K21" s="66"/>
    </row>
    <row r="22" ht="15.75" customHeight="1">
      <c r="A22" s="52"/>
      <c r="B22" s="66"/>
      <c r="C22" s="66"/>
      <c r="D22" s="66"/>
      <c r="E22" s="66"/>
      <c r="F22" s="66"/>
      <c r="G22" s="66"/>
      <c r="H22" s="66"/>
      <c r="I22" s="66"/>
      <c r="J22" s="66"/>
      <c r="K22" s="66"/>
    </row>
    <row r="23" ht="15.75" customHeight="1">
      <c r="A23" s="52"/>
      <c r="B23" s="66"/>
      <c r="C23" s="66"/>
      <c r="D23" s="66"/>
      <c r="E23" s="66"/>
      <c r="F23" s="66"/>
      <c r="G23" s="66"/>
      <c r="H23" s="66"/>
      <c r="I23" s="66"/>
      <c r="J23" s="66"/>
      <c r="K23" s="6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H46" s="110" t="s">
        <v>41</v>
      </c>
      <c r="I46" s="111" t="s">
        <v>95</v>
      </c>
    </row>
    <row r="47" ht="15.75" customHeight="1">
      <c r="H47" s="112"/>
      <c r="I47" s="113"/>
    </row>
    <row r="48" ht="15.75" customHeight="1">
      <c r="H48" s="114"/>
    </row>
    <row r="49" ht="15.75" customHeight="1">
      <c r="H49" s="115" t="s">
        <v>41</v>
      </c>
      <c r="I49" s="116" t="s">
        <v>37</v>
      </c>
    </row>
    <row r="50" ht="15.75" customHeight="1">
      <c r="H50" s="57"/>
      <c r="I50" s="57"/>
    </row>
    <row r="51" ht="15.75" customHeight="1">
      <c r="H51" s="57"/>
      <c r="I51" s="57"/>
    </row>
    <row r="52" ht="15.75" customHeight="1">
      <c r="H52" s="58"/>
      <c r="I52" s="5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3:A5"/>
    <mergeCell ref="B3:B5"/>
    <mergeCell ref="C3:C5"/>
    <mergeCell ref="D3:D5"/>
    <mergeCell ref="I3:I5"/>
    <mergeCell ref="J3:J5"/>
    <mergeCell ref="K3:K5"/>
    <mergeCell ref="A6:A8"/>
    <mergeCell ref="B6:B8"/>
    <mergeCell ref="C6:C8"/>
    <mergeCell ref="D6:D8"/>
    <mergeCell ref="I6:I8"/>
    <mergeCell ref="J6:J8"/>
    <mergeCell ref="K6:K8"/>
    <mergeCell ref="A9:A11"/>
    <mergeCell ref="B9:B11"/>
    <mergeCell ref="C9:C11"/>
    <mergeCell ref="D9:D11"/>
    <mergeCell ref="I9:I11"/>
    <mergeCell ref="J9:J11"/>
    <mergeCell ref="K9:K11"/>
    <mergeCell ref="H49:H52"/>
    <mergeCell ref="I49:I52"/>
    <mergeCell ref="A12:A14"/>
    <mergeCell ref="B12:B14"/>
    <mergeCell ref="C12:C14"/>
    <mergeCell ref="D12:D14"/>
    <mergeCell ref="I12:I14"/>
    <mergeCell ref="J12:J14"/>
    <mergeCell ref="K12:K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4.57"/>
    <col customWidth="1" min="3" max="3" width="11.14"/>
    <col customWidth="1" min="4" max="31" width="8.86"/>
    <col customWidth="1" min="32" max="40" width="13.0"/>
  </cols>
  <sheetData>
    <row r="1" ht="20.25" customHeight="1">
      <c r="A1" s="117"/>
      <c r="B1" s="117"/>
      <c r="C1" s="118" t="s">
        <v>96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20"/>
    </row>
    <row r="2" ht="15.75" customHeight="1">
      <c r="A2" s="121"/>
      <c r="B2" s="122"/>
      <c r="C2" s="123" t="s">
        <v>97</v>
      </c>
      <c r="D2" s="123" t="s">
        <v>98</v>
      </c>
      <c r="E2" s="123" t="s">
        <v>99</v>
      </c>
      <c r="F2" s="123" t="s">
        <v>100</v>
      </c>
      <c r="G2" s="123" t="s">
        <v>101</v>
      </c>
      <c r="H2" s="123" t="s">
        <v>102</v>
      </c>
      <c r="I2" s="123" t="s">
        <v>103</v>
      </c>
      <c r="J2" s="123" t="s">
        <v>104</v>
      </c>
      <c r="K2" s="123" t="s">
        <v>105</v>
      </c>
      <c r="L2" s="123" t="s">
        <v>106</v>
      </c>
      <c r="M2" s="123" t="s">
        <v>107</v>
      </c>
      <c r="N2" s="123" t="s">
        <v>108</v>
      </c>
      <c r="O2" s="123" t="s">
        <v>109</v>
      </c>
      <c r="P2" s="123" t="s">
        <v>110</v>
      </c>
      <c r="Q2" s="123" t="s">
        <v>111</v>
      </c>
      <c r="R2" s="123" t="s">
        <v>112</v>
      </c>
      <c r="S2" s="123" t="s">
        <v>113</v>
      </c>
      <c r="T2" s="123" t="s">
        <v>114</v>
      </c>
      <c r="U2" s="123" t="s">
        <v>115</v>
      </c>
      <c r="V2" s="123" t="s">
        <v>116</v>
      </c>
      <c r="W2" s="123" t="s">
        <v>117</v>
      </c>
      <c r="X2" s="123" t="s">
        <v>118</v>
      </c>
      <c r="Y2" s="123" t="s">
        <v>119</v>
      </c>
      <c r="Z2" s="123" t="s">
        <v>120</v>
      </c>
      <c r="AA2" s="123" t="s">
        <v>121</v>
      </c>
      <c r="AB2" s="123" t="s">
        <v>122</v>
      </c>
      <c r="AC2" s="123" t="s">
        <v>123</v>
      </c>
      <c r="AD2" s="123" t="s">
        <v>124</v>
      </c>
      <c r="AE2" s="123" t="s">
        <v>125</v>
      </c>
      <c r="AF2" s="124"/>
      <c r="AG2" s="124"/>
      <c r="AH2" s="124"/>
      <c r="AI2" s="124"/>
      <c r="AJ2" s="124"/>
      <c r="AK2" s="124"/>
      <c r="AL2" s="124"/>
      <c r="AM2" s="124"/>
      <c r="AN2" s="124"/>
    </row>
    <row r="3" ht="15.75" customHeight="1">
      <c r="A3" s="125" t="s">
        <v>28</v>
      </c>
      <c r="B3" s="126" t="s">
        <v>126</v>
      </c>
      <c r="C3" s="127"/>
      <c r="D3" s="127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29"/>
      <c r="AG3" s="129"/>
      <c r="AH3" s="129"/>
      <c r="AI3" s="129"/>
      <c r="AJ3" s="129"/>
      <c r="AK3" s="129"/>
      <c r="AL3" s="129"/>
      <c r="AM3" s="129"/>
      <c r="AN3" s="129"/>
    </row>
    <row r="4" ht="15.75" customHeight="1">
      <c r="A4" s="130"/>
      <c r="B4" s="126" t="s">
        <v>127</v>
      </c>
      <c r="C4" s="127"/>
      <c r="D4" s="127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29"/>
      <c r="AG4" s="129"/>
      <c r="AH4" s="129"/>
      <c r="AI4" s="129"/>
      <c r="AJ4" s="129"/>
      <c r="AK4" s="129"/>
      <c r="AL4" s="129"/>
      <c r="AM4" s="129"/>
      <c r="AN4" s="129"/>
    </row>
    <row r="5" ht="15.75" customHeight="1">
      <c r="A5" s="130"/>
      <c r="B5" s="126" t="s">
        <v>128</v>
      </c>
      <c r="C5" s="127"/>
      <c r="D5" s="127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29"/>
      <c r="AG5" s="129"/>
      <c r="AH5" s="129"/>
      <c r="AI5" s="129"/>
      <c r="AJ5" s="129"/>
      <c r="AK5" s="129"/>
      <c r="AL5" s="129"/>
      <c r="AM5" s="129"/>
      <c r="AN5" s="129"/>
    </row>
    <row r="6" ht="15.75" customHeight="1">
      <c r="A6" s="130"/>
      <c r="B6" s="126" t="s">
        <v>129</v>
      </c>
      <c r="C6" s="128"/>
      <c r="D6" s="128"/>
      <c r="E6" s="127"/>
      <c r="F6" s="127"/>
      <c r="G6" s="128"/>
      <c r="H6" s="128"/>
      <c r="I6" s="128"/>
      <c r="J6" s="128"/>
      <c r="K6" s="128"/>
      <c r="L6" s="128"/>
      <c r="M6" s="128"/>
      <c r="N6" s="128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29"/>
      <c r="AG6" s="129"/>
      <c r="AH6" s="129"/>
      <c r="AI6" s="129"/>
      <c r="AJ6" s="129"/>
      <c r="AK6" s="129"/>
      <c r="AL6" s="129"/>
      <c r="AM6" s="129"/>
      <c r="AN6" s="129"/>
    </row>
    <row r="7" ht="15.75" customHeight="1">
      <c r="A7" s="130"/>
      <c r="B7" s="126" t="s">
        <v>130</v>
      </c>
      <c r="C7" s="128"/>
      <c r="D7" s="128"/>
      <c r="E7" s="127"/>
      <c r="F7" s="127"/>
      <c r="G7" s="128"/>
      <c r="H7" s="128"/>
      <c r="I7" s="128"/>
      <c r="J7" s="128"/>
      <c r="K7" s="128"/>
      <c r="L7" s="128"/>
      <c r="M7" s="128"/>
      <c r="N7" s="128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29"/>
      <c r="AG7" s="129"/>
      <c r="AH7" s="129"/>
      <c r="AI7" s="129"/>
      <c r="AJ7" s="129"/>
      <c r="AK7" s="129"/>
      <c r="AL7" s="129"/>
      <c r="AM7" s="129"/>
      <c r="AN7" s="129"/>
    </row>
    <row r="8" ht="15.75" customHeight="1">
      <c r="A8" s="130"/>
      <c r="B8" s="126" t="s">
        <v>131</v>
      </c>
      <c r="C8" s="128"/>
      <c r="D8" s="128"/>
      <c r="E8" s="128"/>
      <c r="F8" s="128"/>
      <c r="G8" s="127"/>
      <c r="H8" s="128"/>
      <c r="I8" s="128"/>
      <c r="J8" s="128"/>
      <c r="K8" s="128"/>
      <c r="L8" s="128"/>
      <c r="M8" s="128"/>
      <c r="N8" s="128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29"/>
      <c r="AG8" s="129"/>
      <c r="AH8" s="129"/>
      <c r="AI8" s="129"/>
      <c r="AJ8" s="129"/>
      <c r="AK8" s="129"/>
      <c r="AL8" s="129"/>
      <c r="AM8" s="129"/>
      <c r="AN8" s="129"/>
    </row>
    <row r="9" ht="15.75" customHeight="1">
      <c r="A9" s="130"/>
      <c r="B9" s="126" t="s">
        <v>132</v>
      </c>
      <c r="C9" s="117"/>
      <c r="D9" s="117"/>
      <c r="E9" s="117"/>
      <c r="F9" s="117"/>
      <c r="G9" s="12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29"/>
      <c r="AG9" s="129"/>
      <c r="AH9" s="129"/>
      <c r="AI9" s="129"/>
      <c r="AJ9" s="129"/>
      <c r="AK9" s="129"/>
      <c r="AL9" s="129"/>
      <c r="AM9" s="129"/>
      <c r="AN9" s="129"/>
    </row>
    <row r="10" ht="15.75" customHeight="1">
      <c r="A10" s="130"/>
      <c r="B10" s="126" t="s">
        <v>133</v>
      </c>
      <c r="C10" s="117"/>
      <c r="D10" s="117"/>
      <c r="E10" s="117"/>
      <c r="F10" s="117"/>
      <c r="G10" s="12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29"/>
      <c r="AG10" s="129"/>
      <c r="AH10" s="129"/>
      <c r="AI10" s="129"/>
      <c r="AJ10" s="129"/>
      <c r="AK10" s="129"/>
      <c r="AL10" s="129"/>
      <c r="AM10" s="129"/>
      <c r="AN10" s="129"/>
    </row>
    <row r="11" ht="15.75" customHeight="1">
      <c r="A11" s="130"/>
      <c r="B11" s="126" t="s">
        <v>134</v>
      </c>
      <c r="C11" s="117"/>
      <c r="D11" s="117"/>
      <c r="E11" s="117"/>
      <c r="F11" s="117"/>
      <c r="G11" s="12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29"/>
      <c r="AG11" s="129"/>
      <c r="AH11" s="129"/>
      <c r="AI11" s="129"/>
      <c r="AJ11" s="129"/>
      <c r="AK11" s="129"/>
      <c r="AL11" s="129"/>
      <c r="AM11" s="129"/>
      <c r="AN11" s="129"/>
    </row>
    <row r="12" ht="15.75" customHeight="1">
      <c r="A12" s="130"/>
      <c r="B12" s="126" t="s">
        <v>135</v>
      </c>
      <c r="C12" s="117"/>
      <c r="D12" s="117"/>
      <c r="E12" s="117"/>
      <c r="F12" s="117"/>
      <c r="G12" s="117"/>
      <c r="H12" s="12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29"/>
      <c r="AG12" s="129"/>
      <c r="AH12" s="129"/>
      <c r="AI12" s="129"/>
      <c r="AJ12" s="129"/>
      <c r="AK12" s="129"/>
      <c r="AL12" s="129"/>
      <c r="AM12" s="129"/>
      <c r="AN12" s="129"/>
    </row>
    <row r="13" ht="15.75" customHeight="1">
      <c r="A13" s="130"/>
      <c r="B13" s="126" t="s">
        <v>136</v>
      </c>
      <c r="C13" s="117"/>
      <c r="D13" s="117"/>
      <c r="E13" s="117"/>
      <c r="F13" s="117"/>
      <c r="G13" s="117"/>
      <c r="H13" s="117"/>
      <c r="I13" s="127"/>
      <c r="J13" s="127"/>
      <c r="K13" s="117"/>
      <c r="L13" s="117"/>
      <c r="M13" s="117"/>
      <c r="N13" s="131"/>
      <c r="O13" s="131"/>
      <c r="P13" s="131"/>
      <c r="Q13" s="131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29"/>
      <c r="AG13" s="129"/>
      <c r="AH13" s="129"/>
      <c r="AI13" s="129"/>
      <c r="AJ13" s="129"/>
      <c r="AK13" s="129"/>
      <c r="AL13" s="129"/>
      <c r="AM13" s="129"/>
      <c r="AN13" s="129"/>
    </row>
    <row r="14" ht="15.75" customHeight="1">
      <c r="A14" s="130"/>
      <c r="B14" s="126" t="s">
        <v>137</v>
      </c>
      <c r="C14" s="117"/>
      <c r="D14" s="117"/>
      <c r="E14" s="117"/>
      <c r="F14" s="117"/>
      <c r="G14" s="117"/>
      <c r="H14" s="117"/>
      <c r="I14" s="117"/>
      <c r="J14" s="117"/>
      <c r="K14" s="127"/>
      <c r="L14" s="127"/>
      <c r="M14" s="117"/>
      <c r="N14" s="131"/>
      <c r="O14" s="131"/>
      <c r="P14" s="131"/>
      <c r="Q14" s="131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29"/>
      <c r="AG14" s="129"/>
      <c r="AH14" s="129"/>
      <c r="AI14" s="129"/>
      <c r="AJ14" s="129"/>
      <c r="AK14" s="129"/>
      <c r="AL14" s="129"/>
      <c r="AM14" s="129"/>
      <c r="AN14" s="129"/>
    </row>
    <row r="15" ht="15.75" customHeight="1">
      <c r="A15" s="130"/>
      <c r="B15" s="126" t="s">
        <v>138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27"/>
      <c r="S15" s="127"/>
      <c r="T15" s="12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29"/>
      <c r="AG15" s="129"/>
      <c r="AH15" s="129"/>
      <c r="AI15" s="129"/>
      <c r="AJ15" s="129"/>
      <c r="AK15" s="129"/>
      <c r="AL15" s="129"/>
      <c r="AM15" s="129"/>
      <c r="AN15" s="129"/>
    </row>
    <row r="16" ht="15.75" customHeight="1">
      <c r="A16" s="130"/>
      <c r="B16" s="126" t="s">
        <v>139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27"/>
      <c r="V16" s="127"/>
      <c r="W16" s="127"/>
      <c r="X16" s="117"/>
      <c r="Y16" s="117"/>
      <c r="Z16" s="117"/>
      <c r="AA16" s="117"/>
      <c r="AB16" s="117"/>
      <c r="AC16" s="117"/>
      <c r="AD16" s="117"/>
      <c r="AE16" s="117"/>
      <c r="AF16" s="129"/>
      <c r="AG16" s="129"/>
      <c r="AH16" s="129"/>
      <c r="AI16" s="129"/>
      <c r="AJ16" s="129"/>
      <c r="AK16" s="129"/>
      <c r="AL16" s="129"/>
      <c r="AM16" s="129"/>
      <c r="AN16" s="129"/>
    </row>
    <row r="17" ht="15.75" customHeight="1">
      <c r="A17" s="130"/>
      <c r="B17" s="126" t="s">
        <v>140</v>
      </c>
      <c r="C17" s="117"/>
      <c r="D17" s="117"/>
      <c r="E17" s="117"/>
      <c r="F17" s="117"/>
      <c r="G17" s="117"/>
      <c r="H17" s="117"/>
      <c r="I17" s="117"/>
      <c r="J17" s="117"/>
      <c r="K17" s="131"/>
      <c r="L17" s="131"/>
      <c r="M17" s="12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29"/>
      <c r="AG17" s="129"/>
      <c r="AH17" s="129"/>
      <c r="AI17" s="129"/>
      <c r="AJ17" s="129"/>
      <c r="AK17" s="129"/>
      <c r="AL17" s="129"/>
      <c r="AM17" s="129"/>
      <c r="AN17" s="129"/>
    </row>
    <row r="18" ht="15.75" customHeight="1">
      <c r="A18" s="130"/>
      <c r="B18" s="126" t="s">
        <v>141</v>
      </c>
      <c r="C18" s="117"/>
      <c r="D18" s="117"/>
      <c r="E18" s="117"/>
      <c r="F18" s="117"/>
      <c r="G18" s="117"/>
      <c r="H18" s="117"/>
      <c r="I18" s="117"/>
      <c r="J18" s="117"/>
      <c r="K18" s="131"/>
      <c r="L18" s="131"/>
      <c r="M18" s="117"/>
      <c r="N18" s="12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29"/>
      <c r="AG18" s="129"/>
      <c r="AH18" s="129"/>
      <c r="AI18" s="129"/>
      <c r="AJ18" s="129"/>
      <c r="AK18" s="129"/>
      <c r="AL18" s="129"/>
      <c r="AM18" s="129"/>
      <c r="AN18" s="129"/>
    </row>
    <row r="19" ht="15.75" customHeight="1">
      <c r="A19" s="130"/>
      <c r="B19" s="126" t="s">
        <v>142</v>
      </c>
      <c r="C19" s="117"/>
      <c r="D19" s="117"/>
      <c r="E19" s="117"/>
      <c r="F19" s="117"/>
      <c r="G19" s="117"/>
      <c r="H19" s="117"/>
      <c r="I19" s="117"/>
      <c r="J19" s="117"/>
      <c r="K19" s="131"/>
      <c r="L19" s="131"/>
      <c r="M19" s="117"/>
      <c r="N19" s="117"/>
      <c r="O19" s="12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29"/>
      <c r="AG19" s="129"/>
      <c r="AH19" s="129"/>
      <c r="AI19" s="129"/>
      <c r="AJ19" s="129"/>
      <c r="AK19" s="129"/>
      <c r="AL19" s="129"/>
      <c r="AM19" s="129"/>
      <c r="AN19" s="129"/>
    </row>
    <row r="20" ht="15.75" customHeight="1">
      <c r="A20" s="130"/>
      <c r="B20" s="126" t="s">
        <v>143</v>
      </c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27"/>
      <c r="Y20" s="117"/>
      <c r="Z20" s="117"/>
      <c r="AA20" s="117"/>
      <c r="AB20" s="117"/>
      <c r="AC20" s="117"/>
      <c r="AD20" s="117"/>
      <c r="AE20" s="117"/>
      <c r="AF20" s="129"/>
      <c r="AG20" s="129"/>
      <c r="AH20" s="129"/>
      <c r="AI20" s="129"/>
      <c r="AJ20" s="129"/>
      <c r="AK20" s="129"/>
      <c r="AL20" s="129"/>
      <c r="AM20" s="129"/>
      <c r="AN20" s="129"/>
    </row>
    <row r="21" ht="15.75" customHeight="1">
      <c r="A21" s="130"/>
      <c r="B21" s="126" t="s">
        <v>144</v>
      </c>
      <c r="C21" s="117"/>
      <c r="D21" s="117"/>
      <c r="E21" s="117"/>
      <c r="F21" s="117"/>
      <c r="G21" s="117"/>
      <c r="H21" s="117"/>
      <c r="I21" s="131"/>
      <c r="J21" s="131"/>
      <c r="K21" s="117"/>
      <c r="L21" s="117"/>
      <c r="M21" s="117"/>
      <c r="N21" s="117"/>
      <c r="O21" s="117"/>
      <c r="P21" s="131"/>
      <c r="Q21" s="131"/>
      <c r="R21" s="117"/>
      <c r="S21" s="117"/>
      <c r="T21" s="117"/>
      <c r="U21" s="117"/>
      <c r="V21" s="117"/>
      <c r="W21" s="117"/>
      <c r="X21" s="117"/>
      <c r="Y21" s="127"/>
      <c r="Z21" s="117"/>
      <c r="AA21" s="117"/>
      <c r="AB21" s="117"/>
      <c r="AC21" s="117"/>
      <c r="AD21" s="117"/>
      <c r="AE21" s="117"/>
      <c r="AF21" s="129"/>
      <c r="AG21" s="129"/>
      <c r="AH21" s="129"/>
      <c r="AI21" s="129"/>
      <c r="AJ21" s="129"/>
      <c r="AK21" s="129"/>
      <c r="AL21" s="129"/>
      <c r="AM21" s="129"/>
      <c r="AN21" s="129"/>
    </row>
    <row r="22" ht="15.75" customHeight="1">
      <c r="A22" s="130"/>
      <c r="B22" s="126" t="s">
        <v>145</v>
      </c>
      <c r="C22" s="117"/>
      <c r="D22" s="117"/>
      <c r="E22" s="117"/>
      <c r="F22" s="117"/>
      <c r="G22" s="117"/>
      <c r="H22" s="117"/>
      <c r="I22" s="131"/>
      <c r="J22" s="131"/>
      <c r="K22" s="117"/>
      <c r="L22" s="117"/>
      <c r="M22" s="117"/>
      <c r="N22" s="117"/>
      <c r="O22" s="117"/>
      <c r="P22" s="131"/>
      <c r="Q22" s="131"/>
      <c r="R22" s="117"/>
      <c r="S22" s="117"/>
      <c r="T22" s="117"/>
      <c r="U22" s="117"/>
      <c r="V22" s="117"/>
      <c r="W22" s="117"/>
      <c r="X22" s="117"/>
      <c r="Y22" s="117"/>
      <c r="Z22" s="127"/>
      <c r="AA22" s="117"/>
      <c r="AB22" s="117"/>
      <c r="AC22" s="117"/>
      <c r="AD22" s="117"/>
      <c r="AE22" s="117"/>
      <c r="AF22" s="129"/>
      <c r="AG22" s="129"/>
      <c r="AH22" s="129"/>
      <c r="AI22" s="129"/>
      <c r="AJ22" s="129"/>
      <c r="AK22" s="129"/>
      <c r="AL22" s="129"/>
      <c r="AM22" s="129"/>
      <c r="AN22" s="129"/>
    </row>
    <row r="23" ht="15.75" customHeight="1">
      <c r="A23" s="130"/>
      <c r="B23" s="126" t="s">
        <v>146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2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29"/>
      <c r="AG23" s="129"/>
      <c r="AH23" s="129"/>
      <c r="AI23" s="129"/>
      <c r="AJ23" s="129"/>
      <c r="AK23" s="129"/>
      <c r="AL23" s="129"/>
      <c r="AM23" s="129"/>
      <c r="AN23" s="129"/>
    </row>
    <row r="24" ht="15.75" customHeight="1">
      <c r="A24" s="130"/>
      <c r="B24" s="126" t="s">
        <v>147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2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29"/>
      <c r="AG24" s="129"/>
      <c r="AH24" s="129"/>
      <c r="AI24" s="129"/>
      <c r="AJ24" s="129"/>
      <c r="AK24" s="129"/>
      <c r="AL24" s="129"/>
      <c r="AM24" s="129"/>
      <c r="AN24" s="129"/>
    </row>
    <row r="25" ht="15.75" customHeight="1">
      <c r="A25" s="130"/>
      <c r="B25" s="126" t="s">
        <v>148</v>
      </c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27"/>
      <c r="AB25" s="117"/>
      <c r="AC25" s="117"/>
      <c r="AD25" s="117"/>
      <c r="AE25" s="117"/>
      <c r="AF25" s="129"/>
      <c r="AG25" s="129"/>
      <c r="AH25" s="129"/>
      <c r="AI25" s="129"/>
      <c r="AJ25" s="129"/>
      <c r="AK25" s="129"/>
      <c r="AL25" s="129"/>
      <c r="AM25" s="129"/>
      <c r="AN25" s="129"/>
    </row>
    <row r="26" ht="15.75" customHeight="1">
      <c r="A26" s="130"/>
      <c r="B26" s="126" t="s">
        <v>149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27"/>
      <c r="AC26" s="117"/>
      <c r="AD26" s="117"/>
      <c r="AE26" s="117"/>
      <c r="AF26" s="129"/>
      <c r="AG26" s="129"/>
      <c r="AH26" s="129"/>
      <c r="AI26" s="129"/>
      <c r="AJ26" s="129"/>
      <c r="AK26" s="129"/>
      <c r="AL26" s="129"/>
      <c r="AM26" s="129"/>
      <c r="AN26" s="129"/>
    </row>
    <row r="27" ht="15.75" customHeight="1">
      <c r="A27" s="130"/>
      <c r="B27" s="126" t="s">
        <v>150</v>
      </c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27"/>
      <c r="AD27" s="127"/>
      <c r="AE27" s="127"/>
      <c r="AF27" s="129"/>
      <c r="AG27" s="129"/>
      <c r="AH27" s="129"/>
      <c r="AI27" s="129"/>
      <c r="AJ27" s="129"/>
      <c r="AK27" s="129"/>
      <c r="AL27" s="129"/>
      <c r="AM27" s="129"/>
      <c r="AN27" s="129"/>
    </row>
    <row r="28" ht="15.75" customHeight="1">
      <c r="A28" s="130"/>
      <c r="B28" s="126" t="s">
        <v>151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27"/>
      <c r="AD28" s="127"/>
      <c r="AE28" s="127"/>
      <c r="AF28" s="129"/>
      <c r="AG28" s="129"/>
      <c r="AH28" s="129"/>
      <c r="AI28" s="129"/>
      <c r="AJ28" s="129"/>
      <c r="AK28" s="129"/>
      <c r="AL28" s="129"/>
      <c r="AM28" s="129"/>
      <c r="AN28" s="129"/>
    </row>
    <row r="29" ht="15.75" customHeight="1">
      <c r="A29" s="130"/>
      <c r="B29" s="126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29"/>
      <c r="AG29" s="129"/>
      <c r="AH29" s="129"/>
      <c r="AI29" s="129"/>
      <c r="AJ29" s="129"/>
      <c r="AK29" s="129"/>
      <c r="AL29" s="129"/>
      <c r="AM29" s="129"/>
      <c r="AN29" s="129"/>
    </row>
    <row r="30" ht="15.75" customHeight="1">
      <c r="A30" s="130"/>
      <c r="B30" s="126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29"/>
      <c r="AG30" s="129"/>
      <c r="AH30" s="129"/>
      <c r="AI30" s="129"/>
      <c r="AJ30" s="129"/>
      <c r="AK30" s="129"/>
      <c r="AL30" s="129"/>
      <c r="AM30" s="129"/>
      <c r="AN30" s="129"/>
    </row>
    <row r="31" ht="15.75" customHeight="1">
      <c r="A31" s="132"/>
      <c r="B31" s="126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29"/>
      <c r="AG31" s="129"/>
      <c r="AH31" s="129"/>
      <c r="AI31" s="129"/>
      <c r="AJ31" s="129"/>
      <c r="AK31" s="129"/>
      <c r="AL31" s="129"/>
      <c r="AM31" s="129"/>
      <c r="AN31" s="129"/>
    </row>
    <row r="32" ht="15.75" customHeight="1"/>
    <row r="33" ht="15.75" customHeight="1"/>
    <row r="34" ht="15.75" customHeight="1"/>
    <row r="35" ht="15.75" customHeight="1">
      <c r="B35" s="133" t="s">
        <v>152</v>
      </c>
    </row>
    <row r="36" ht="15.75" customHeight="1">
      <c r="A36" s="134" t="s">
        <v>153</v>
      </c>
      <c r="B36" s="134" t="s">
        <v>28</v>
      </c>
      <c r="C36" s="135" t="s">
        <v>66</v>
      </c>
      <c r="D36" s="134" t="s">
        <v>154</v>
      </c>
    </row>
    <row r="37" ht="15.75" customHeight="1">
      <c r="A37" s="136" t="s">
        <v>126</v>
      </c>
      <c r="B37" s="137" t="s">
        <v>155</v>
      </c>
      <c r="C37" s="117"/>
      <c r="D37" s="117"/>
    </row>
    <row r="38" ht="15.75" customHeight="1">
      <c r="A38" s="136" t="s">
        <v>127</v>
      </c>
      <c r="B38" s="137" t="s">
        <v>156</v>
      </c>
      <c r="C38" s="117"/>
      <c r="D38" s="117"/>
    </row>
    <row r="39" ht="15.75" customHeight="1">
      <c r="A39" s="136" t="s">
        <v>128</v>
      </c>
      <c r="B39" s="137" t="s">
        <v>156</v>
      </c>
      <c r="C39" s="117"/>
      <c r="D39" s="117"/>
    </row>
    <row r="40" ht="15.75" customHeight="1">
      <c r="A40" s="136" t="s">
        <v>129</v>
      </c>
      <c r="B40" s="137" t="s">
        <v>157</v>
      </c>
      <c r="C40" s="117"/>
      <c r="D40" s="117"/>
    </row>
    <row r="41" ht="15.75" customHeight="1">
      <c r="A41" s="136" t="s">
        <v>130</v>
      </c>
      <c r="B41" s="137" t="s">
        <v>158</v>
      </c>
      <c r="C41" s="117"/>
      <c r="D41" s="117"/>
    </row>
    <row r="42" ht="15.75" customHeight="1">
      <c r="A42" s="136" t="s">
        <v>131</v>
      </c>
      <c r="B42" s="137" t="s">
        <v>101</v>
      </c>
      <c r="C42" s="117"/>
      <c r="D42" s="117"/>
    </row>
    <row r="43" ht="15.75" customHeight="1">
      <c r="A43" s="136" t="s">
        <v>132</v>
      </c>
      <c r="B43" s="137" t="s">
        <v>101</v>
      </c>
      <c r="C43" s="117"/>
      <c r="D43" s="117"/>
    </row>
    <row r="44" ht="15.75" customHeight="1">
      <c r="A44" s="136" t="s">
        <v>133</v>
      </c>
      <c r="B44" s="137" t="s">
        <v>101</v>
      </c>
      <c r="C44" s="117"/>
      <c r="D44" s="117"/>
    </row>
    <row r="45" ht="15.75" customHeight="1">
      <c r="A45" s="136" t="s">
        <v>134</v>
      </c>
      <c r="B45" s="137" t="s">
        <v>101</v>
      </c>
      <c r="C45" s="117"/>
      <c r="D45" s="117"/>
    </row>
    <row r="46" ht="15.75" customHeight="1">
      <c r="A46" s="136" t="s">
        <v>135</v>
      </c>
      <c r="B46" s="137" t="s">
        <v>102</v>
      </c>
      <c r="C46" s="117"/>
      <c r="D46" s="117"/>
    </row>
    <row r="47" ht="15.75" customHeight="1">
      <c r="A47" s="136" t="s">
        <v>136</v>
      </c>
      <c r="B47" s="137" t="s">
        <v>159</v>
      </c>
      <c r="C47" s="117"/>
      <c r="D47" s="117"/>
    </row>
    <row r="48" ht="15.75" customHeight="1">
      <c r="A48" s="136" t="s">
        <v>137</v>
      </c>
      <c r="B48" s="137" t="s">
        <v>159</v>
      </c>
      <c r="C48" s="117"/>
      <c r="D48" s="117"/>
    </row>
    <row r="49" ht="15.75" customHeight="1">
      <c r="A49" s="136" t="s">
        <v>138</v>
      </c>
      <c r="B49" s="137" t="s">
        <v>160</v>
      </c>
      <c r="C49" s="117"/>
      <c r="D49" s="117"/>
    </row>
    <row r="50" ht="15.75" customHeight="1">
      <c r="A50" s="136" t="s">
        <v>139</v>
      </c>
      <c r="B50" s="137" t="s">
        <v>160</v>
      </c>
      <c r="C50" s="117"/>
      <c r="D50" s="117"/>
    </row>
    <row r="51" ht="15.75" customHeight="1">
      <c r="A51" s="136" t="s">
        <v>140</v>
      </c>
      <c r="B51" s="137" t="s">
        <v>161</v>
      </c>
      <c r="C51" s="117"/>
      <c r="D51" s="117"/>
    </row>
    <row r="52" ht="15.75" customHeight="1">
      <c r="A52" s="136" t="s">
        <v>141</v>
      </c>
      <c r="B52" s="137" t="s">
        <v>161</v>
      </c>
      <c r="C52" s="117"/>
      <c r="D52" s="117"/>
    </row>
    <row r="53" ht="15.75" customHeight="1">
      <c r="A53" s="136" t="s">
        <v>142</v>
      </c>
      <c r="B53" s="137" t="s">
        <v>161</v>
      </c>
      <c r="C53" s="117"/>
      <c r="D53" s="117"/>
    </row>
    <row r="54" ht="15.75" customHeight="1">
      <c r="A54" s="136" t="s">
        <v>143</v>
      </c>
      <c r="B54" s="137" t="s">
        <v>162</v>
      </c>
      <c r="C54" s="117"/>
      <c r="D54" s="117"/>
    </row>
    <row r="55" ht="15.75" customHeight="1">
      <c r="A55" s="136" t="s">
        <v>144</v>
      </c>
      <c r="B55" s="137" t="s">
        <v>162</v>
      </c>
      <c r="C55" s="117"/>
      <c r="D55" s="117"/>
    </row>
    <row r="56" ht="15.75" customHeight="1">
      <c r="A56" s="136" t="s">
        <v>145</v>
      </c>
      <c r="B56" s="137" t="s">
        <v>162</v>
      </c>
      <c r="C56" s="117"/>
      <c r="D56" s="117"/>
    </row>
    <row r="57" ht="15.75" customHeight="1">
      <c r="A57" s="136" t="s">
        <v>146</v>
      </c>
      <c r="B57" s="137" t="s">
        <v>110</v>
      </c>
      <c r="C57" s="117"/>
      <c r="D57" s="117"/>
    </row>
    <row r="58" ht="15.75" customHeight="1">
      <c r="A58" s="136" t="s">
        <v>147</v>
      </c>
      <c r="B58" s="137" t="s">
        <v>111</v>
      </c>
      <c r="C58" s="117"/>
      <c r="D58" s="117"/>
    </row>
    <row r="59" ht="15.75" customHeight="1">
      <c r="A59" s="136" t="s">
        <v>148</v>
      </c>
      <c r="B59" s="137" t="s">
        <v>121</v>
      </c>
      <c r="C59" s="117"/>
      <c r="D59" s="117"/>
    </row>
    <row r="60" ht="15.75" customHeight="1">
      <c r="A60" s="136" t="s">
        <v>149</v>
      </c>
      <c r="B60" s="137" t="s">
        <v>122</v>
      </c>
      <c r="C60" s="117"/>
      <c r="D60" s="117"/>
    </row>
    <row r="61" ht="15.75" customHeight="1">
      <c r="A61" s="136" t="s">
        <v>150</v>
      </c>
      <c r="B61" s="137" t="s">
        <v>163</v>
      </c>
      <c r="C61" s="117"/>
      <c r="D61" s="117"/>
    </row>
    <row r="62" ht="15.75" customHeight="1">
      <c r="A62" s="136" t="s">
        <v>151</v>
      </c>
      <c r="B62" s="137" t="s">
        <v>163</v>
      </c>
      <c r="C62" s="117"/>
      <c r="D62" s="11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AE1"/>
    <mergeCell ref="A3:A31"/>
    <mergeCell ref="B35:C3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3.29"/>
    <col customWidth="1" min="2" max="2" width="15.14"/>
    <col customWidth="1" min="3" max="3" width="20.43"/>
    <col customWidth="1" min="4" max="4" width="48.29"/>
    <col customWidth="1" min="5" max="5" width="13.43"/>
    <col customWidth="1" min="6" max="6" width="60.43"/>
    <col customWidth="1" min="7" max="7" width="217.0"/>
    <col customWidth="1" min="8" max="8" width="60.43"/>
    <col customWidth="1" min="9" max="9" width="92.43"/>
    <col customWidth="1" min="10" max="10" width="111.29"/>
    <col customWidth="1" min="11" max="11" width="14.0"/>
    <col customWidth="1" min="12" max="12" width="10.0"/>
    <col customWidth="1" min="13" max="13" width="32.86"/>
    <col customWidth="1" min="14" max="14" width="9.86"/>
    <col customWidth="1" min="15" max="15" width="68.86"/>
    <col customWidth="1" min="16" max="16" width="43.43"/>
    <col customWidth="1" min="17" max="26" width="9.86"/>
  </cols>
  <sheetData>
    <row r="1" ht="15.75" customHeight="1">
      <c r="B1" s="24" t="s">
        <v>15</v>
      </c>
      <c r="C1" s="3"/>
      <c r="D1" s="25" t="s">
        <v>16</v>
      </c>
      <c r="E1" s="26" t="s">
        <v>17</v>
      </c>
      <c r="F1" s="138" t="str">
        <f>IFERROR(__xludf.DUMMYFUNCTION("FILTER(A2:A100,(C2:C100=500)+(D2:D100=""Fail""))"),"")</f>
        <v/>
      </c>
    </row>
    <row r="2" ht="15.75" customHeight="1">
      <c r="B2" s="5"/>
      <c r="C2" s="6"/>
      <c r="D2" s="27" t="s">
        <v>9</v>
      </c>
      <c r="E2" s="28">
        <f>COUNTIF(A:A,"Pass")</f>
        <v>223</v>
      </c>
    </row>
    <row r="3" ht="15.75" customHeight="1">
      <c r="B3" s="5"/>
      <c r="C3" s="6"/>
      <c r="D3" s="29" t="s">
        <v>10</v>
      </c>
      <c r="E3" s="28">
        <f>COUNTIF(A:A,"Fail")</f>
        <v>4</v>
      </c>
    </row>
    <row r="4" ht="15.75" customHeight="1">
      <c r="B4" s="30"/>
      <c r="C4" s="31"/>
      <c r="D4" s="32" t="s">
        <v>164</v>
      </c>
      <c r="E4" s="32"/>
    </row>
    <row r="5" ht="15.75" customHeight="1">
      <c r="B5" s="139"/>
      <c r="C5" s="139"/>
      <c r="D5" s="32"/>
      <c r="E5" s="32"/>
    </row>
    <row r="6" ht="15.75" customHeight="1">
      <c r="B6" s="139"/>
      <c r="C6" s="139"/>
      <c r="D6" s="32"/>
      <c r="E6" s="32"/>
    </row>
    <row r="7" ht="15.75" customHeight="1"/>
    <row r="8" ht="27.75" customHeight="1">
      <c r="A8" s="140"/>
      <c r="B8" s="140" t="s">
        <v>165</v>
      </c>
      <c r="C8" s="108"/>
      <c r="D8" s="141"/>
      <c r="E8" s="141"/>
      <c r="G8" s="141"/>
      <c r="H8" s="141"/>
      <c r="J8" s="141"/>
    </row>
    <row r="9" ht="33.75" customHeight="1">
      <c r="A9" s="142" t="s">
        <v>16</v>
      </c>
      <c r="B9" s="142" t="s">
        <v>166</v>
      </c>
      <c r="C9" s="142" t="s">
        <v>28</v>
      </c>
      <c r="D9" s="142" t="s">
        <v>167</v>
      </c>
      <c r="E9" s="142" t="s">
        <v>168</v>
      </c>
      <c r="F9" s="142" t="s">
        <v>169</v>
      </c>
      <c r="G9" s="142" t="s">
        <v>170</v>
      </c>
      <c r="H9" s="142" t="s">
        <v>171</v>
      </c>
      <c r="I9" s="142" t="s">
        <v>172</v>
      </c>
      <c r="J9" s="142" t="s">
        <v>173</v>
      </c>
      <c r="K9" s="142" t="s">
        <v>27</v>
      </c>
      <c r="L9" s="142" t="s">
        <v>174</v>
      </c>
      <c r="M9" s="142" t="s">
        <v>175</v>
      </c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15.75" customHeight="1">
      <c r="A10" s="144" t="s">
        <v>9</v>
      </c>
      <c r="B10" s="145" t="s">
        <v>176</v>
      </c>
      <c r="C10" s="146" t="s">
        <v>177</v>
      </c>
      <c r="D10" s="117" t="s">
        <v>178</v>
      </c>
      <c r="E10" s="117" t="s">
        <v>179</v>
      </c>
      <c r="F10" s="117" t="s">
        <v>180</v>
      </c>
      <c r="G10" s="117" t="s">
        <v>181</v>
      </c>
      <c r="H10" s="117" t="s">
        <v>182</v>
      </c>
      <c r="I10" s="117" t="s">
        <v>183</v>
      </c>
      <c r="J10" s="117" t="s">
        <v>183</v>
      </c>
      <c r="K10" s="117" t="str">
        <f t="shared" ref="K10:K20" si="1">IF(A10="Pass","–","BUG- ")</f>
        <v>–</v>
      </c>
      <c r="L10" s="117" t="s">
        <v>69</v>
      </c>
      <c r="M10" s="147" t="s">
        <v>184</v>
      </c>
      <c r="O10" s="148" t="str">
        <f t="shared" ref="O10:O52" si="2">TRIM(MID(F10,FIND("–",F10)+1,LEN(F10)))</f>
        <v>#VALUE!</v>
      </c>
      <c r="P10" s="148" t="str">
        <f t="shared" ref="P10:P52" si="3">TRIM(MID(O10,FIND("–",O10)+1,LEN(O10)))</f>
        <v>#VALUE!</v>
      </c>
    </row>
    <row r="11" ht="15.75" customHeight="1">
      <c r="A11" s="144" t="s">
        <v>9</v>
      </c>
      <c r="B11" s="145" t="s">
        <v>176</v>
      </c>
      <c r="C11" s="146" t="s">
        <v>185</v>
      </c>
      <c r="D11" s="117" t="s">
        <v>178</v>
      </c>
      <c r="E11" s="117" t="s">
        <v>179</v>
      </c>
      <c r="F11" s="117" t="s">
        <v>186</v>
      </c>
      <c r="G11" s="117" t="s">
        <v>187</v>
      </c>
      <c r="H11" s="117" t="s">
        <v>182</v>
      </c>
      <c r="I11" s="117" t="s">
        <v>188</v>
      </c>
      <c r="J11" s="117" t="s">
        <v>189</v>
      </c>
      <c r="K11" s="117" t="str">
        <f t="shared" si="1"/>
        <v>–</v>
      </c>
      <c r="L11" s="117" t="s">
        <v>69</v>
      </c>
      <c r="M11" s="147" t="s">
        <v>184</v>
      </c>
      <c r="O11" s="148" t="str">
        <f t="shared" si="2"/>
        <v>InternalServerErrorException</v>
      </c>
      <c r="P11" s="148" t="str">
        <f t="shared" si="3"/>
        <v>#VALUE!</v>
      </c>
    </row>
    <row r="12" ht="15.75" customHeight="1">
      <c r="A12" s="144" t="s">
        <v>9</v>
      </c>
      <c r="B12" s="145" t="s">
        <v>176</v>
      </c>
      <c r="C12" s="146" t="s">
        <v>190</v>
      </c>
      <c r="D12" s="117" t="s">
        <v>178</v>
      </c>
      <c r="E12" s="117" t="s">
        <v>191</v>
      </c>
      <c r="F12" s="117" t="s">
        <v>192</v>
      </c>
      <c r="G12" s="117" t="s">
        <v>193</v>
      </c>
      <c r="H12" s="117" t="s">
        <v>194</v>
      </c>
      <c r="I12" s="117" t="s">
        <v>195</v>
      </c>
      <c r="J12" s="117" t="s">
        <v>195</v>
      </c>
      <c r="K12" s="117" t="str">
        <f t="shared" si="1"/>
        <v>–</v>
      </c>
      <c r="L12" s="117" t="s">
        <v>69</v>
      </c>
      <c r="M12" s="147" t="s">
        <v>184</v>
      </c>
      <c r="O12" s="148" t="str">
        <f t="shared" si="2"/>
        <v>include user; orderBy createdAt asc</v>
      </c>
      <c r="P12" s="148" t="str">
        <f t="shared" si="3"/>
        <v>#VALUE!</v>
      </c>
    </row>
    <row r="13" ht="15.75" customHeight="1">
      <c r="A13" s="144" t="s">
        <v>9</v>
      </c>
      <c r="B13" s="145" t="s">
        <v>176</v>
      </c>
      <c r="C13" s="146" t="s">
        <v>196</v>
      </c>
      <c r="D13" s="117" t="s">
        <v>178</v>
      </c>
      <c r="E13" s="117" t="s">
        <v>191</v>
      </c>
      <c r="F13" s="117" t="s">
        <v>186</v>
      </c>
      <c r="G13" s="117" t="s">
        <v>197</v>
      </c>
      <c r="H13" s="117" t="s">
        <v>194</v>
      </c>
      <c r="I13" s="117" t="s">
        <v>188</v>
      </c>
      <c r="J13" s="117" t="s">
        <v>189</v>
      </c>
      <c r="K13" s="117" t="str">
        <f t="shared" si="1"/>
        <v>–</v>
      </c>
      <c r="L13" s="117" t="s">
        <v>69</v>
      </c>
      <c r="M13" s="147" t="s">
        <v>184</v>
      </c>
      <c r="O13" s="148" t="str">
        <f t="shared" si="2"/>
        <v>InternalServerErrorException</v>
      </c>
      <c r="P13" s="148" t="str">
        <f t="shared" si="3"/>
        <v>#VALUE!</v>
      </c>
    </row>
    <row r="14" ht="15.75" customHeight="1">
      <c r="A14" s="144" t="s">
        <v>9</v>
      </c>
      <c r="B14" s="145" t="s">
        <v>176</v>
      </c>
      <c r="C14" s="146" t="s">
        <v>198</v>
      </c>
      <c r="D14" s="117" t="s">
        <v>178</v>
      </c>
      <c r="E14" s="117" t="s">
        <v>199</v>
      </c>
      <c r="F14" s="117" t="s">
        <v>200</v>
      </c>
      <c r="G14" s="117" t="s">
        <v>201</v>
      </c>
      <c r="H14" s="117" t="s">
        <v>202</v>
      </c>
      <c r="I14" s="117" t="s">
        <v>203</v>
      </c>
      <c r="J14" s="117" t="s">
        <v>203</v>
      </c>
      <c r="K14" s="117" t="str">
        <f t="shared" si="1"/>
        <v>–</v>
      </c>
      <c r="L14" s="117" t="s">
        <v>69</v>
      </c>
      <c r="M14" s="147" t="s">
        <v>184</v>
      </c>
      <c r="O14" s="148" t="str">
        <f t="shared" si="2"/>
        <v>include user &amp; post</v>
      </c>
      <c r="P14" s="148" t="str">
        <f t="shared" si="3"/>
        <v>#VALUE!</v>
      </c>
    </row>
    <row r="15" ht="15.75" customHeight="1">
      <c r="A15" s="144" t="s">
        <v>9</v>
      </c>
      <c r="B15" s="145" t="s">
        <v>176</v>
      </c>
      <c r="C15" s="146" t="s">
        <v>204</v>
      </c>
      <c r="D15" s="117" t="s">
        <v>178</v>
      </c>
      <c r="E15" s="117" t="s">
        <v>199</v>
      </c>
      <c r="F15" s="117" t="s">
        <v>186</v>
      </c>
      <c r="G15" s="117" t="s">
        <v>205</v>
      </c>
      <c r="H15" s="117" t="s">
        <v>206</v>
      </c>
      <c r="I15" s="117" t="s">
        <v>188</v>
      </c>
      <c r="J15" s="117" t="s">
        <v>189</v>
      </c>
      <c r="K15" s="117" t="str">
        <f t="shared" si="1"/>
        <v>–</v>
      </c>
      <c r="L15" s="117" t="s">
        <v>69</v>
      </c>
      <c r="M15" s="147" t="s">
        <v>184</v>
      </c>
      <c r="O15" s="148" t="str">
        <f t="shared" si="2"/>
        <v>InternalServerErrorException</v>
      </c>
      <c r="P15" s="148" t="str">
        <f t="shared" si="3"/>
        <v>#VALUE!</v>
      </c>
    </row>
    <row r="16" ht="15.75" customHeight="1">
      <c r="A16" s="144" t="s">
        <v>9</v>
      </c>
      <c r="B16" s="145" t="s">
        <v>176</v>
      </c>
      <c r="C16" s="146" t="s">
        <v>207</v>
      </c>
      <c r="D16" s="117" t="s">
        <v>178</v>
      </c>
      <c r="E16" s="117" t="s">
        <v>208</v>
      </c>
      <c r="F16" s="117" t="s">
        <v>209</v>
      </c>
      <c r="G16" s="117" t="s">
        <v>210</v>
      </c>
      <c r="H16" s="117" t="s">
        <v>211</v>
      </c>
      <c r="I16" s="117" t="s">
        <v>212</v>
      </c>
      <c r="J16" s="117" t="s">
        <v>212</v>
      </c>
      <c r="K16" s="117" t="str">
        <f t="shared" si="1"/>
        <v>–</v>
      </c>
      <c r="L16" s="117" t="s">
        <v>69</v>
      </c>
      <c r="M16" s="147" t="s">
        <v>184</v>
      </c>
      <c r="O16" s="148" t="str">
        <f t="shared" si="2"/>
        <v>pre-check OK &amp; update berhasil</v>
      </c>
      <c r="P16" s="148" t="str">
        <f t="shared" si="3"/>
        <v>#VALUE!</v>
      </c>
    </row>
    <row r="17" ht="15.75" customHeight="1">
      <c r="A17" s="144" t="s">
        <v>9</v>
      </c>
      <c r="B17" s="145" t="s">
        <v>176</v>
      </c>
      <c r="C17" s="146" t="s">
        <v>213</v>
      </c>
      <c r="D17" s="117" t="s">
        <v>178</v>
      </c>
      <c r="E17" s="117" t="s">
        <v>208</v>
      </c>
      <c r="F17" s="117" t="s">
        <v>214</v>
      </c>
      <c r="G17" s="117" t="s">
        <v>215</v>
      </c>
      <c r="H17" s="117" t="s">
        <v>216</v>
      </c>
      <c r="I17" s="117" t="s">
        <v>217</v>
      </c>
      <c r="J17" s="117" t="s">
        <v>218</v>
      </c>
      <c r="K17" s="117" t="str">
        <f t="shared" si="1"/>
        <v>–</v>
      </c>
      <c r="L17" s="117" t="s">
        <v>69</v>
      </c>
      <c r="M17" s="147" t="s">
        <v>184</v>
      </c>
      <c r="O17" s="148" t="str">
        <f t="shared" si="2"/>
        <v>NotFoundException saat pre-check</v>
      </c>
      <c r="P17" s="148" t="str">
        <f t="shared" si="3"/>
        <v>#VALUE!</v>
      </c>
    </row>
    <row r="18" ht="15.75" customHeight="1">
      <c r="A18" s="144" t="s">
        <v>9</v>
      </c>
      <c r="B18" s="145" t="s">
        <v>176</v>
      </c>
      <c r="C18" s="146" t="s">
        <v>219</v>
      </c>
      <c r="D18" s="117" t="s">
        <v>178</v>
      </c>
      <c r="E18" s="117" t="s">
        <v>208</v>
      </c>
      <c r="F18" s="117" t="s">
        <v>220</v>
      </c>
      <c r="G18" s="117" t="s">
        <v>221</v>
      </c>
      <c r="H18" s="117" t="s">
        <v>216</v>
      </c>
      <c r="I18" s="117" t="s">
        <v>217</v>
      </c>
      <c r="J18" s="117" t="s">
        <v>218</v>
      </c>
      <c r="K18" s="117" t="str">
        <f t="shared" si="1"/>
        <v>–</v>
      </c>
      <c r="L18" s="117" t="s">
        <v>69</v>
      </c>
      <c r="M18" s="147" t="s">
        <v>184</v>
      </c>
      <c r="O18" s="148" t="str">
        <f t="shared" si="2"/>
        <v>Prisma P2025 saat pre-check</v>
      </c>
      <c r="P18" s="148" t="str">
        <f t="shared" si="3"/>
        <v>#VALUE!</v>
      </c>
    </row>
    <row r="19" ht="15.75" customHeight="1">
      <c r="A19" s="144" t="s">
        <v>9</v>
      </c>
      <c r="B19" s="145" t="s">
        <v>176</v>
      </c>
      <c r="C19" s="146" t="s">
        <v>222</v>
      </c>
      <c r="D19" s="117" t="s">
        <v>178</v>
      </c>
      <c r="E19" s="117" t="s">
        <v>208</v>
      </c>
      <c r="F19" s="117" t="s">
        <v>223</v>
      </c>
      <c r="G19" s="117" t="s">
        <v>224</v>
      </c>
      <c r="H19" s="117" t="s">
        <v>211</v>
      </c>
      <c r="I19" s="117" t="s">
        <v>188</v>
      </c>
      <c r="J19" s="117" t="s">
        <v>189</v>
      </c>
      <c r="K19" s="117" t="str">
        <f t="shared" si="1"/>
        <v>–</v>
      </c>
      <c r="L19" s="117" t="s">
        <v>69</v>
      </c>
      <c r="M19" s="147" t="s">
        <v>184</v>
      </c>
      <c r="O19" s="148" t="str">
        <f t="shared" si="2"/>
        <v>DB error saat update</v>
      </c>
      <c r="P19" s="148" t="str">
        <f t="shared" si="3"/>
        <v>#VALUE!</v>
      </c>
    </row>
    <row r="20" ht="15.75" customHeight="1">
      <c r="A20" s="144" t="s">
        <v>9</v>
      </c>
      <c r="B20" s="145" t="s">
        <v>176</v>
      </c>
      <c r="C20" s="146" t="s">
        <v>225</v>
      </c>
      <c r="D20" s="117" t="s">
        <v>178</v>
      </c>
      <c r="E20" s="117" t="s">
        <v>226</v>
      </c>
      <c r="F20" s="117" t="s">
        <v>227</v>
      </c>
      <c r="G20" s="117" t="s">
        <v>228</v>
      </c>
      <c r="H20" s="117" t="s">
        <v>229</v>
      </c>
      <c r="I20" s="117" t="s">
        <v>230</v>
      </c>
      <c r="J20" s="117" t="s">
        <v>230</v>
      </c>
      <c r="K20" s="117" t="str">
        <f t="shared" si="1"/>
        <v>–</v>
      </c>
      <c r="L20" s="117" t="s">
        <v>69</v>
      </c>
      <c r="M20" s="147" t="s">
        <v>184</v>
      </c>
      <c r="O20" s="148" t="str">
        <f t="shared" si="2"/>
        <v>Data berhasil dihapus</v>
      </c>
      <c r="P20" s="148" t="str">
        <f t="shared" si="3"/>
        <v>#VALUE!</v>
      </c>
    </row>
    <row r="21" ht="15.75" customHeight="1">
      <c r="A21" s="149" t="s">
        <v>10</v>
      </c>
      <c r="B21" s="145" t="s">
        <v>176</v>
      </c>
      <c r="C21" s="146" t="s">
        <v>33</v>
      </c>
      <c r="D21" s="117" t="s">
        <v>178</v>
      </c>
      <c r="E21" s="117" t="s">
        <v>226</v>
      </c>
      <c r="F21" s="117" t="s">
        <v>231</v>
      </c>
      <c r="G21" s="117" t="s">
        <v>232</v>
      </c>
      <c r="H21" s="117" t="s">
        <v>233</v>
      </c>
      <c r="I21" s="117" t="s">
        <v>217</v>
      </c>
      <c r="J21" s="117" t="s">
        <v>234</v>
      </c>
      <c r="K21" s="117" t="s">
        <v>32</v>
      </c>
      <c r="L21" s="117" t="s">
        <v>69</v>
      </c>
      <c r="M21" s="147" t="s">
        <v>184</v>
      </c>
      <c r="O21" s="148" t="str">
        <f t="shared" si="2"/>
        <v>findUnique bernilai null</v>
      </c>
      <c r="P21" s="148" t="str">
        <f t="shared" si="3"/>
        <v>#VALUE!</v>
      </c>
    </row>
    <row r="22" ht="15.75" customHeight="1">
      <c r="A22" s="144" t="s">
        <v>9</v>
      </c>
      <c r="B22" s="145" t="s">
        <v>176</v>
      </c>
      <c r="C22" s="146" t="s">
        <v>235</v>
      </c>
      <c r="D22" s="117" t="s">
        <v>178</v>
      </c>
      <c r="E22" s="117" t="s">
        <v>226</v>
      </c>
      <c r="F22" s="117" t="s">
        <v>236</v>
      </c>
      <c r="G22" s="117" t="s">
        <v>237</v>
      </c>
      <c r="H22" s="117" t="s">
        <v>233</v>
      </c>
      <c r="I22" s="117" t="s">
        <v>217</v>
      </c>
      <c r="J22" s="117" t="s">
        <v>218</v>
      </c>
      <c r="K22" s="117" t="str">
        <f t="shared" ref="K22:K125" si="4">IF(A22="Pass","–","BUG- ")</f>
        <v>–</v>
      </c>
      <c r="L22" s="117" t="s">
        <v>69</v>
      </c>
      <c r="M22" s="147" t="s">
        <v>184</v>
      </c>
      <c r="O22" s="148" t="str">
        <f t="shared" si="2"/>
        <v>NotFoundError pada findUnique</v>
      </c>
      <c r="P22" s="148" t="str">
        <f t="shared" si="3"/>
        <v>#VALUE!</v>
      </c>
    </row>
    <row r="23" ht="15.75" customHeight="1">
      <c r="A23" s="144" t="s">
        <v>9</v>
      </c>
      <c r="B23" s="145" t="s">
        <v>176</v>
      </c>
      <c r="C23" s="146" t="s">
        <v>238</v>
      </c>
      <c r="D23" s="117" t="s">
        <v>178</v>
      </c>
      <c r="E23" s="117" t="s">
        <v>226</v>
      </c>
      <c r="F23" s="117" t="s">
        <v>239</v>
      </c>
      <c r="G23" s="117" t="s">
        <v>240</v>
      </c>
      <c r="H23" s="117" t="s">
        <v>229</v>
      </c>
      <c r="I23" s="117" t="s">
        <v>217</v>
      </c>
      <c r="J23" s="117" t="s">
        <v>218</v>
      </c>
      <c r="K23" s="117" t="str">
        <f t="shared" si="4"/>
        <v>–</v>
      </c>
      <c r="L23" s="117" t="s">
        <v>69</v>
      </c>
      <c r="M23" s="147" t="s">
        <v>184</v>
      </c>
      <c r="O23" s="148" t="str">
        <f t="shared" si="2"/>
        <v>Prisma P2025 pada delete</v>
      </c>
      <c r="P23" s="148" t="str">
        <f t="shared" si="3"/>
        <v>#VALUE!</v>
      </c>
    </row>
    <row r="24" ht="15.75" customHeight="1">
      <c r="A24" s="150" t="s">
        <v>9</v>
      </c>
      <c r="B24" s="145" t="s">
        <v>176</v>
      </c>
      <c r="C24" s="151" t="s">
        <v>241</v>
      </c>
      <c r="D24" s="152" t="s">
        <v>178</v>
      </c>
      <c r="E24" s="117" t="s">
        <v>226</v>
      </c>
      <c r="F24" s="152" t="s">
        <v>242</v>
      </c>
      <c r="G24" s="152" t="s">
        <v>243</v>
      </c>
      <c r="H24" s="152" t="s">
        <v>229</v>
      </c>
      <c r="I24" s="152" t="s">
        <v>188</v>
      </c>
      <c r="J24" s="117" t="s">
        <v>189</v>
      </c>
      <c r="K24" s="117" t="str">
        <f t="shared" si="4"/>
        <v>–</v>
      </c>
      <c r="L24" s="152" t="s">
        <v>69</v>
      </c>
      <c r="M24" s="147" t="s">
        <v>184</v>
      </c>
      <c r="O24" s="148" t="str">
        <f t="shared" si="2"/>
        <v>DB error pada delete</v>
      </c>
      <c r="P24" s="148" t="str">
        <f t="shared" si="3"/>
        <v>#VALUE!</v>
      </c>
    </row>
    <row r="25" ht="15.75" customHeight="1">
      <c r="A25" s="150" t="s">
        <v>9</v>
      </c>
      <c r="B25" s="145" t="s">
        <v>176</v>
      </c>
      <c r="C25" s="151" t="s">
        <v>244</v>
      </c>
      <c r="D25" s="117" t="s">
        <v>245</v>
      </c>
      <c r="E25" s="117" t="s">
        <v>179</v>
      </c>
      <c r="F25" s="117" t="s">
        <v>246</v>
      </c>
      <c r="G25" s="117" t="s">
        <v>247</v>
      </c>
      <c r="H25" s="117" t="s">
        <v>248</v>
      </c>
      <c r="I25" s="117" t="s">
        <v>249</v>
      </c>
      <c r="J25" s="117" t="s">
        <v>249</v>
      </c>
      <c r="K25" s="117" t="str">
        <f t="shared" si="4"/>
        <v>–</v>
      </c>
      <c r="L25" s="117" t="s">
        <v>69</v>
      </c>
      <c r="M25" s="147" t="s">
        <v>184</v>
      </c>
      <c r="O25" s="148" t="str">
        <f t="shared" si="2"/>
        <v>files &amp; include tags</v>
      </c>
      <c r="P25" s="148" t="str">
        <f t="shared" si="3"/>
        <v>#VALUE!</v>
      </c>
    </row>
    <row r="26" ht="15.75" customHeight="1">
      <c r="A26" s="150" t="s">
        <v>9</v>
      </c>
      <c r="B26" s="145" t="s">
        <v>176</v>
      </c>
      <c r="C26" s="151" t="s">
        <v>250</v>
      </c>
      <c r="D26" s="117" t="s">
        <v>245</v>
      </c>
      <c r="E26" s="117" t="s">
        <v>179</v>
      </c>
      <c r="F26" s="117" t="s">
        <v>251</v>
      </c>
      <c r="G26" s="117" t="s">
        <v>252</v>
      </c>
      <c r="H26" s="117" t="s">
        <v>253</v>
      </c>
      <c r="I26" s="117" t="s">
        <v>254</v>
      </c>
      <c r="J26" s="117" t="s">
        <v>254</v>
      </c>
      <c r="K26" s="117" t="str">
        <f t="shared" si="4"/>
        <v>–</v>
      </c>
      <c r="L26" s="117" t="s">
        <v>69</v>
      </c>
      <c r="M26" s="147" t="s">
        <v>184</v>
      </c>
      <c r="O26" s="148" t="str">
        <f t="shared" si="2"/>
        <v>user.role undefined → pakai DTO.authorRole</v>
      </c>
      <c r="P26" s="148" t="str">
        <f t="shared" si="3"/>
        <v>#VALUE!</v>
      </c>
    </row>
    <row r="27" ht="15.75" customHeight="1">
      <c r="A27" s="150" t="s">
        <v>9</v>
      </c>
      <c r="B27" s="145" t="s">
        <v>176</v>
      </c>
      <c r="C27" s="151" t="s">
        <v>255</v>
      </c>
      <c r="D27" s="117" t="s">
        <v>245</v>
      </c>
      <c r="E27" s="117" t="s">
        <v>179</v>
      </c>
      <c r="F27" s="117" t="s">
        <v>256</v>
      </c>
      <c r="G27" s="117" t="s">
        <v>257</v>
      </c>
      <c r="H27" s="117" t="s">
        <v>253</v>
      </c>
      <c r="I27" s="117" t="s">
        <v>217</v>
      </c>
      <c r="J27" s="117" t="s">
        <v>217</v>
      </c>
      <c r="K27" s="117" t="str">
        <f t="shared" si="4"/>
        <v>–</v>
      </c>
      <c r="L27" s="117" t="s">
        <v>69</v>
      </c>
      <c r="M27" s="147" t="s">
        <v>184</v>
      </c>
      <c r="O27" s="148" t="str">
        <f t="shared" si="2"/>
        <v>NotFoundError → NotFoundException</v>
      </c>
      <c r="P27" s="148" t="str">
        <f t="shared" si="3"/>
        <v>#VALUE!</v>
      </c>
    </row>
    <row r="28" ht="15.75" customHeight="1">
      <c r="A28" s="150" t="s">
        <v>9</v>
      </c>
      <c r="B28" s="145" t="s">
        <v>176</v>
      </c>
      <c r="C28" s="151" t="s">
        <v>258</v>
      </c>
      <c r="D28" s="117" t="s">
        <v>245</v>
      </c>
      <c r="E28" s="117" t="s">
        <v>179</v>
      </c>
      <c r="F28" s="117" t="s">
        <v>259</v>
      </c>
      <c r="G28" s="117" t="s">
        <v>260</v>
      </c>
      <c r="H28" s="117" t="s">
        <v>253</v>
      </c>
      <c r="I28" s="117" t="s">
        <v>217</v>
      </c>
      <c r="J28" s="117" t="s">
        <v>217</v>
      </c>
      <c r="K28" s="117" t="str">
        <f t="shared" si="4"/>
        <v>–</v>
      </c>
      <c r="L28" s="117" t="s">
        <v>69</v>
      </c>
      <c r="M28" s="147" t="s">
        <v>184</v>
      </c>
      <c r="O28" s="148" t="str">
        <f t="shared" si="2"/>
        <v>Prisma P2025 → NotFoundException</v>
      </c>
      <c r="P28" s="148" t="str">
        <f t="shared" si="3"/>
        <v>#VALUE!</v>
      </c>
    </row>
    <row r="29" ht="15.75" customHeight="1">
      <c r="A29" s="150" t="s">
        <v>9</v>
      </c>
      <c r="B29" s="145" t="s">
        <v>176</v>
      </c>
      <c r="C29" s="151" t="s">
        <v>261</v>
      </c>
      <c r="D29" s="117" t="s">
        <v>245</v>
      </c>
      <c r="E29" s="117" t="s">
        <v>179</v>
      </c>
      <c r="F29" s="117" t="s">
        <v>262</v>
      </c>
      <c r="G29" s="117" t="s">
        <v>263</v>
      </c>
      <c r="H29" s="117" t="s">
        <v>253</v>
      </c>
      <c r="I29" s="117" t="s">
        <v>188</v>
      </c>
      <c r="J29" s="117" t="s">
        <v>188</v>
      </c>
      <c r="K29" s="117" t="str">
        <f t="shared" si="4"/>
        <v>–</v>
      </c>
      <c r="L29" s="117" t="s">
        <v>69</v>
      </c>
      <c r="M29" s="147" t="s">
        <v>184</v>
      </c>
      <c r="O29" s="148" t="str">
        <f t="shared" si="2"/>
        <v>Error umum → InternalServerErrorException</v>
      </c>
      <c r="P29" s="148" t="str">
        <f t="shared" si="3"/>
        <v>#VALUE!</v>
      </c>
    </row>
    <row r="30" ht="15.75" customHeight="1">
      <c r="A30" s="150" t="s">
        <v>9</v>
      </c>
      <c r="B30" s="145" t="s">
        <v>176</v>
      </c>
      <c r="C30" s="151" t="s">
        <v>264</v>
      </c>
      <c r="D30" s="117" t="s">
        <v>245</v>
      </c>
      <c r="E30" s="117" t="s">
        <v>191</v>
      </c>
      <c r="F30" s="117" t="s">
        <v>265</v>
      </c>
      <c r="G30" s="117" t="s">
        <v>266</v>
      </c>
      <c r="H30" s="117" t="s">
        <v>194</v>
      </c>
      <c r="I30" s="117" t="s">
        <v>267</v>
      </c>
      <c r="J30" s="117" t="s">
        <v>267</v>
      </c>
      <c r="K30" s="117" t="str">
        <f t="shared" si="4"/>
        <v>–</v>
      </c>
      <c r="L30" s="117" t="s">
        <v>69</v>
      </c>
      <c r="M30" s="147" t="s">
        <v>184</v>
      </c>
      <c r="O30" s="148" t="str">
        <f t="shared" si="2"/>
        <v>include user &amp; _count; attachments diparse</v>
      </c>
      <c r="P30" s="148" t="str">
        <f t="shared" si="3"/>
        <v>#VALUE!</v>
      </c>
    </row>
    <row r="31" ht="15.75" customHeight="1">
      <c r="A31" s="150" t="s">
        <v>9</v>
      </c>
      <c r="B31" s="145" t="s">
        <v>176</v>
      </c>
      <c r="C31" s="151" t="s">
        <v>268</v>
      </c>
      <c r="D31" s="117" t="s">
        <v>245</v>
      </c>
      <c r="E31" s="117" t="s">
        <v>191</v>
      </c>
      <c r="F31" s="117" t="s">
        <v>269</v>
      </c>
      <c r="G31" s="117" t="s">
        <v>270</v>
      </c>
      <c r="H31" s="117" t="s">
        <v>194</v>
      </c>
      <c r="I31" s="117" t="s">
        <v>188</v>
      </c>
      <c r="J31" s="117" t="s">
        <v>188</v>
      </c>
      <c r="K31" s="117" t="str">
        <f t="shared" si="4"/>
        <v>–</v>
      </c>
      <c r="L31" s="117" t="s">
        <v>69</v>
      </c>
      <c r="M31" s="147" t="s">
        <v>184</v>
      </c>
      <c r="O31" s="148" t="str">
        <f t="shared" si="2"/>
        <v>Error umum → InternalServerErrorException</v>
      </c>
      <c r="P31" s="148" t="str">
        <f t="shared" si="3"/>
        <v>#VALUE!</v>
      </c>
    </row>
    <row r="32" ht="15.75" customHeight="1">
      <c r="A32" s="150" t="s">
        <v>9</v>
      </c>
      <c r="B32" s="145" t="s">
        <v>176</v>
      </c>
      <c r="C32" s="151" t="s">
        <v>271</v>
      </c>
      <c r="D32" s="117" t="s">
        <v>245</v>
      </c>
      <c r="E32" s="117" t="s">
        <v>199</v>
      </c>
      <c r="F32" s="117" t="s">
        <v>272</v>
      </c>
      <c r="G32" s="117" t="s">
        <v>273</v>
      </c>
      <c r="H32" s="117" t="s">
        <v>274</v>
      </c>
      <c r="I32" s="117" t="s">
        <v>275</v>
      </c>
      <c r="J32" s="117" t="s">
        <v>275</v>
      </c>
      <c r="K32" s="117" t="str">
        <f t="shared" si="4"/>
        <v>–</v>
      </c>
      <c r="L32" s="117" t="s">
        <v>69</v>
      </c>
      <c r="M32" s="147" t="s">
        <v>184</v>
      </c>
      <c r="O32" s="148" t="str">
        <f t="shared" si="2"/>
        <v>include comments,tags,user; attachments diparse</v>
      </c>
      <c r="P32" s="148" t="str">
        <f t="shared" si="3"/>
        <v>#VALUE!</v>
      </c>
    </row>
    <row r="33" ht="15.75" customHeight="1">
      <c r="A33" s="150" t="s">
        <v>9</v>
      </c>
      <c r="B33" s="145" t="s">
        <v>176</v>
      </c>
      <c r="C33" s="151" t="s">
        <v>276</v>
      </c>
      <c r="D33" s="117" t="s">
        <v>245</v>
      </c>
      <c r="E33" s="117" t="s">
        <v>199</v>
      </c>
      <c r="F33" s="117" t="s">
        <v>262</v>
      </c>
      <c r="G33" s="117" t="s">
        <v>277</v>
      </c>
      <c r="H33" s="117" t="s">
        <v>278</v>
      </c>
      <c r="I33" s="117" t="s">
        <v>188</v>
      </c>
      <c r="J33" s="117" t="s">
        <v>188</v>
      </c>
      <c r="K33" s="117" t="str">
        <f t="shared" si="4"/>
        <v>–</v>
      </c>
      <c r="L33" s="117" t="s">
        <v>69</v>
      </c>
      <c r="M33" s="147" t="s">
        <v>184</v>
      </c>
      <c r="O33" s="148" t="str">
        <f t="shared" si="2"/>
        <v>Error umum → InternalServerErrorException</v>
      </c>
      <c r="P33" s="148" t="str">
        <f t="shared" si="3"/>
        <v>#VALUE!</v>
      </c>
    </row>
    <row r="34" ht="15.75" customHeight="1">
      <c r="A34" s="150" t="s">
        <v>9</v>
      </c>
      <c r="B34" s="145" t="s">
        <v>176</v>
      </c>
      <c r="C34" s="151" t="s">
        <v>279</v>
      </c>
      <c r="D34" s="117" t="s">
        <v>245</v>
      </c>
      <c r="E34" s="117" t="s">
        <v>208</v>
      </c>
      <c r="F34" s="117" t="s">
        <v>280</v>
      </c>
      <c r="G34" s="117" t="s">
        <v>281</v>
      </c>
      <c r="H34" s="117" t="s">
        <v>282</v>
      </c>
      <c r="I34" s="117" t="s">
        <v>283</v>
      </c>
      <c r="J34" s="117" t="s">
        <v>283</v>
      </c>
      <c r="K34" s="117" t="str">
        <f t="shared" si="4"/>
        <v>–</v>
      </c>
      <c r="L34" s="117" t="s">
        <v>69</v>
      </c>
      <c r="M34" s="147" t="s">
        <v>184</v>
      </c>
      <c r="O34" s="148" t="str">
        <f t="shared" si="2"/>
        <v>files baru (hapus attachments lama)</v>
      </c>
      <c r="P34" s="148" t="str">
        <f t="shared" si="3"/>
        <v>#VALUE!</v>
      </c>
    </row>
    <row r="35" ht="15.75" customHeight="1">
      <c r="A35" s="150" t="s">
        <v>9</v>
      </c>
      <c r="B35" s="145" t="s">
        <v>176</v>
      </c>
      <c r="C35" s="151" t="s">
        <v>284</v>
      </c>
      <c r="D35" s="117" t="s">
        <v>245</v>
      </c>
      <c r="E35" s="117" t="s">
        <v>208</v>
      </c>
      <c r="F35" s="117" t="s">
        <v>285</v>
      </c>
      <c r="G35" s="117" t="s">
        <v>286</v>
      </c>
      <c r="H35" s="117" t="s">
        <v>287</v>
      </c>
      <c r="I35" s="117" t="s">
        <v>288</v>
      </c>
      <c r="J35" s="117" t="s">
        <v>288</v>
      </c>
      <c r="K35" s="117" t="str">
        <f t="shared" si="4"/>
        <v>–</v>
      </c>
      <c r="L35" s="117" t="s">
        <v>69</v>
      </c>
      <c r="M35" s="147" t="s">
        <v>184</v>
      </c>
      <c r="O35" s="148" t="str">
        <f t="shared" si="2"/>
        <v>tanpa files baru (pertahankan attachments lama)</v>
      </c>
      <c r="P35" s="148" t="str">
        <f t="shared" si="3"/>
        <v>#VALUE!</v>
      </c>
    </row>
    <row r="36" ht="15.75" customHeight="1">
      <c r="A36" s="150" t="s">
        <v>9</v>
      </c>
      <c r="B36" s="145" t="s">
        <v>176</v>
      </c>
      <c r="C36" s="151" t="s">
        <v>289</v>
      </c>
      <c r="D36" s="117" t="s">
        <v>245</v>
      </c>
      <c r="E36" s="117" t="s">
        <v>208</v>
      </c>
      <c r="F36" s="117" t="s">
        <v>290</v>
      </c>
      <c r="G36" s="117" t="s">
        <v>291</v>
      </c>
      <c r="H36" s="117" t="s">
        <v>216</v>
      </c>
      <c r="I36" s="117" t="s">
        <v>217</v>
      </c>
      <c r="J36" s="117" t="s">
        <v>217</v>
      </c>
      <c r="K36" s="117" t="str">
        <f t="shared" si="4"/>
        <v>–</v>
      </c>
      <c r="L36" s="117" t="s">
        <v>69</v>
      </c>
      <c r="M36" s="147" t="s">
        <v>184</v>
      </c>
      <c r="O36" s="148" t="str">
        <f t="shared" si="2"/>
        <v>NotFoundError pre-check → NotFoundException</v>
      </c>
      <c r="P36" s="148" t="str">
        <f t="shared" si="3"/>
        <v>#VALUE!</v>
      </c>
    </row>
    <row r="37" ht="15.75" customHeight="1">
      <c r="A37" s="150" t="s">
        <v>9</v>
      </c>
      <c r="B37" s="145" t="s">
        <v>176</v>
      </c>
      <c r="C37" s="151" t="s">
        <v>292</v>
      </c>
      <c r="D37" s="117" t="s">
        <v>245</v>
      </c>
      <c r="E37" s="117" t="s">
        <v>208</v>
      </c>
      <c r="F37" s="117" t="s">
        <v>293</v>
      </c>
      <c r="G37" s="117" t="s">
        <v>294</v>
      </c>
      <c r="H37" s="117" t="s">
        <v>216</v>
      </c>
      <c r="I37" s="117" t="s">
        <v>217</v>
      </c>
      <c r="J37" s="117" t="s">
        <v>217</v>
      </c>
      <c r="K37" s="117" t="str">
        <f t="shared" si="4"/>
        <v>–</v>
      </c>
      <c r="L37" s="117" t="s">
        <v>69</v>
      </c>
      <c r="M37" s="147" t="s">
        <v>184</v>
      </c>
      <c r="O37" s="148" t="str">
        <f t="shared" si="2"/>
        <v>Prisma P2025 pre-check → NotFoundException</v>
      </c>
      <c r="P37" s="148" t="str">
        <f t="shared" si="3"/>
        <v>#VALUE!</v>
      </c>
    </row>
    <row r="38" ht="15.75" customHeight="1">
      <c r="A38" s="150" t="s">
        <v>9</v>
      </c>
      <c r="B38" s="145" t="s">
        <v>176</v>
      </c>
      <c r="C38" s="151" t="s">
        <v>295</v>
      </c>
      <c r="D38" s="117" t="s">
        <v>245</v>
      </c>
      <c r="E38" s="117" t="s">
        <v>208</v>
      </c>
      <c r="F38" s="117" t="s">
        <v>296</v>
      </c>
      <c r="G38" s="117" t="s">
        <v>297</v>
      </c>
      <c r="H38" s="117" t="s">
        <v>298</v>
      </c>
      <c r="I38" s="117" t="s">
        <v>188</v>
      </c>
      <c r="J38" s="117" t="s">
        <v>188</v>
      </c>
      <c r="K38" s="117" t="str">
        <f t="shared" si="4"/>
        <v>–</v>
      </c>
      <c r="L38" s="117" t="s">
        <v>69</v>
      </c>
      <c r="M38" s="147" t="s">
        <v>184</v>
      </c>
      <c r="O38" s="148" t="str">
        <f t="shared" si="2"/>
        <v>Error umum saat update → InternalServerErrorException</v>
      </c>
      <c r="P38" s="148" t="str">
        <f t="shared" si="3"/>
        <v>#VALUE!</v>
      </c>
    </row>
    <row r="39" ht="15.75" customHeight="1">
      <c r="A39" s="150" t="s">
        <v>9</v>
      </c>
      <c r="B39" s="145" t="s">
        <v>176</v>
      </c>
      <c r="C39" s="151" t="s">
        <v>299</v>
      </c>
      <c r="D39" s="117" t="s">
        <v>245</v>
      </c>
      <c r="E39" s="117" t="s">
        <v>226</v>
      </c>
      <c r="F39" s="117" t="s">
        <v>300</v>
      </c>
      <c r="G39" s="117" t="s">
        <v>301</v>
      </c>
      <c r="H39" s="117" t="s">
        <v>302</v>
      </c>
      <c r="I39" s="117" t="s">
        <v>303</v>
      </c>
      <c r="J39" s="117" t="s">
        <v>303</v>
      </c>
      <c r="K39" s="117" t="str">
        <f t="shared" si="4"/>
        <v>–</v>
      </c>
      <c r="L39" s="117" t="s">
        <v>69</v>
      </c>
      <c r="M39" s="147" t="s">
        <v>184</v>
      </c>
      <c r="O39" s="148" t="str">
        <f t="shared" si="2"/>
        <v>hapus post &amp; hapus file attachments lama</v>
      </c>
      <c r="P39" s="148" t="str">
        <f t="shared" si="3"/>
        <v>#VALUE!</v>
      </c>
    </row>
    <row r="40" ht="15.75" customHeight="1">
      <c r="A40" s="150" t="s">
        <v>9</v>
      </c>
      <c r="B40" s="145" t="s">
        <v>176</v>
      </c>
      <c r="C40" s="151" t="s">
        <v>304</v>
      </c>
      <c r="D40" s="117" t="s">
        <v>245</v>
      </c>
      <c r="E40" s="117" t="s">
        <v>226</v>
      </c>
      <c r="F40" s="117" t="s">
        <v>290</v>
      </c>
      <c r="G40" s="117" t="s">
        <v>291</v>
      </c>
      <c r="H40" s="117" t="s">
        <v>233</v>
      </c>
      <c r="I40" s="117" t="s">
        <v>217</v>
      </c>
      <c r="J40" s="117" t="s">
        <v>217</v>
      </c>
      <c r="K40" s="117" t="str">
        <f t="shared" si="4"/>
        <v>–</v>
      </c>
      <c r="L40" s="117" t="s">
        <v>69</v>
      </c>
      <c r="M40" s="147" t="s">
        <v>184</v>
      </c>
      <c r="O40" s="148" t="str">
        <f t="shared" si="2"/>
        <v>NotFoundError pre-check → NotFoundException</v>
      </c>
      <c r="P40" s="148" t="str">
        <f t="shared" si="3"/>
        <v>#VALUE!</v>
      </c>
    </row>
    <row r="41" ht="15.75" customHeight="1">
      <c r="A41" s="150" t="s">
        <v>9</v>
      </c>
      <c r="B41" s="145" t="s">
        <v>176</v>
      </c>
      <c r="C41" s="151" t="s">
        <v>305</v>
      </c>
      <c r="D41" s="117" t="s">
        <v>245</v>
      </c>
      <c r="E41" s="117" t="s">
        <v>226</v>
      </c>
      <c r="F41" s="117" t="s">
        <v>293</v>
      </c>
      <c r="G41" s="117" t="s">
        <v>294</v>
      </c>
      <c r="H41" s="117" t="s">
        <v>233</v>
      </c>
      <c r="I41" s="117" t="s">
        <v>217</v>
      </c>
      <c r="J41" s="117" t="s">
        <v>217</v>
      </c>
      <c r="K41" s="117" t="str">
        <f t="shared" si="4"/>
        <v>–</v>
      </c>
      <c r="L41" s="117" t="s">
        <v>69</v>
      </c>
      <c r="M41" s="147" t="s">
        <v>184</v>
      </c>
      <c r="O41" s="148" t="str">
        <f t="shared" si="2"/>
        <v>Prisma P2025 pre-check → NotFoundException</v>
      </c>
      <c r="P41" s="148" t="str">
        <f t="shared" si="3"/>
        <v>#VALUE!</v>
      </c>
    </row>
    <row r="42" ht="15.75" customHeight="1">
      <c r="A42" s="150" t="s">
        <v>9</v>
      </c>
      <c r="B42" s="153" t="s">
        <v>176</v>
      </c>
      <c r="C42" s="151" t="s">
        <v>306</v>
      </c>
      <c r="D42" s="152" t="s">
        <v>245</v>
      </c>
      <c r="E42" s="152" t="s">
        <v>226</v>
      </c>
      <c r="F42" s="152" t="s">
        <v>307</v>
      </c>
      <c r="G42" s="152" t="s">
        <v>308</v>
      </c>
      <c r="H42" s="152" t="s">
        <v>302</v>
      </c>
      <c r="I42" s="152" t="s">
        <v>188</v>
      </c>
      <c r="J42" s="152" t="s">
        <v>188</v>
      </c>
      <c r="K42" s="117" t="str">
        <f t="shared" si="4"/>
        <v>–</v>
      </c>
      <c r="L42" s="152" t="s">
        <v>69</v>
      </c>
      <c r="M42" s="147" t="s">
        <v>184</v>
      </c>
      <c r="O42" s="148" t="str">
        <f t="shared" si="2"/>
        <v>Error umum saat delete → InternalServerErrorException</v>
      </c>
      <c r="P42" s="148" t="str">
        <f t="shared" si="3"/>
        <v>#VALUE!</v>
      </c>
    </row>
    <row r="43" ht="15.75" customHeight="1">
      <c r="A43" s="150" t="s">
        <v>9</v>
      </c>
      <c r="B43" s="153" t="s">
        <v>176</v>
      </c>
      <c r="C43" s="151" t="s">
        <v>309</v>
      </c>
      <c r="D43" s="117" t="s">
        <v>310</v>
      </c>
      <c r="E43" s="117" t="s">
        <v>179</v>
      </c>
      <c r="F43" s="117" t="s">
        <v>180</v>
      </c>
      <c r="G43" s="117" t="s">
        <v>311</v>
      </c>
      <c r="H43" s="117" t="s">
        <v>182</v>
      </c>
      <c r="I43" s="117" t="s">
        <v>312</v>
      </c>
      <c r="J43" s="117" t="s">
        <v>313</v>
      </c>
      <c r="K43" s="117" t="str">
        <f t="shared" si="4"/>
        <v>–</v>
      </c>
      <c r="L43" s="117" t="s">
        <v>69</v>
      </c>
      <c r="M43" s="154" t="s">
        <v>314</v>
      </c>
      <c r="O43" s="148" t="str">
        <f t="shared" si="2"/>
        <v>#VALUE!</v>
      </c>
      <c r="P43" s="148" t="str">
        <f t="shared" si="3"/>
        <v>#VALUE!</v>
      </c>
    </row>
    <row r="44" ht="15.75" customHeight="1">
      <c r="A44" s="150" t="s">
        <v>9</v>
      </c>
      <c r="B44" s="153" t="s">
        <v>176</v>
      </c>
      <c r="C44" s="151" t="s">
        <v>315</v>
      </c>
      <c r="D44" s="117" t="s">
        <v>310</v>
      </c>
      <c r="E44" s="117" t="s">
        <v>179</v>
      </c>
      <c r="F44" s="117" t="s">
        <v>186</v>
      </c>
      <c r="G44" s="117" t="s">
        <v>316</v>
      </c>
      <c r="H44" s="117" t="s">
        <v>182</v>
      </c>
      <c r="I44" s="117" t="s">
        <v>317</v>
      </c>
      <c r="J44" s="117" t="s">
        <v>189</v>
      </c>
      <c r="K44" s="117" t="str">
        <f t="shared" si="4"/>
        <v>–</v>
      </c>
      <c r="L44" s="117" t="s">
        <v>69</v>
      </c>
      <c r="M44" s="154" t="s">
        <v>314</v>
      </c>
      <c r="O44" s="148" t="str">
        <f t="shared" si="2"/>
        <v>InternalServerErrorException</v>
      </c>
      <c r="P44" s="148" t="str">
        <f t="shared" si="3"/>
        <v>#VALUE!</v>
      </c>
    </row>
    <row r="45" ht="15.75" customHeight="1">
      <c r="A45" s="150" t="s">
        <v>9</v>
      </c>
      <c r="B45" s="153" t="s">
        <v>176</v>
      </c>
      <c r="C45" s="151" t="s">
        <v>318</v>
      </c>
      <c r="D45" s="117" t="s">
        <v>310</v>
      </c>
      <c r="E45" s="117" t="s">
        <v>191</v>
      </c>
      <c r="F45" s="117" t="s">
        <v>319</v>
      </c>
      <c r="G45" s="117" t="s">
        <v>320</v>
      </c>
      <c r="H45" s="117" t="s">
        <v>194</v>
      </c>
      <c r="I45" s="117" t="s">
        <v>321</v>
      </c>
      <c r="J45" s="117" t="s">
        <v>322</v>
      </c>
      <c r="K45" s="117" t="str">
        <f t="shared" si="4"/>
        <v>–</v>
      </c>
      <c r="L45" s="117" t="s">
        <v>69</v>
      </c>
      <c r="M45" s="154" t="s">
        <v>314</v>
      </c>
      <c r="O45" s="148" t="str">
        <f t="shared" si="2"/>
        <v>include employee.user; orderBy title asc</v>
      </c>
      <c r="P45" s="148" t="str">
        <f t="shared" si="3"/>
        <v>#VALUE!</v>
      </c>
    </row>
    <row r="46" ht="15.75" customHeight="1">
      <c r="A46" s="150" t="s">
        <v>9</v>
      </c>
      <c r="B46" s="153" t="s">
        <v>176</v>
      </c>
      <c r="C46" s="151" t="s">
        <v>323</v>
      </c>
      <c r="D46" s="117" t="s">
        <v>310</v>
      </c>
      <c r="E46" s="117" t="s">
        <v>191</v>
      </c>
      <c r="F46" s="117" t="s">
        <v>186</v>
      </c>
      <c r="G46" s="117" t="s">
        <v>320</v>
      </c>
      <c r="H46" s="117" t="s">
        <v>194</v>
      </c>
      <c r="I46" s="117" t="s">
        <v>317</v>
      </c>
      <c r="J46" s="117" t="s">
        <v>189</v>
      </c>
      <c r="K46" s="117" t="str">
        <f t="shared" si="4"/>
        <v>–</v>
      </c>
      <c r="L46" s="117" t="s">
        <v>69</v>
      </c>
      <c r="M46" s="154" t="s">
        <v>314</v>
      </c>
      <c r="O46" s="148" t="str">
        <f t="shared" si="2"/>
        <v>InternalServerErrorException</v>
      </c>
      <c r="P46" s="148" t="str">
        <f t="shared" si="3"/>
        <v>#VALUE!</v>
      </c>
    </row>
    <row r="47" ht="15.75" customHeight="1">
      <c r="A47" s="150" t="s">
        <v>9</v>
      </c>
      <c r="B47" s="153" t="s">
        <v>176</v>
      </c>
      <c r="C47" s="151" t="s">
        <v>324</v>
      </c>
      <c r="D47" s="117" t="s">
        <v>310</v>
      </c>
      <c r="E47" s="117" t="s">
        <v>199</v>
      </c>
      <c r="F47" s="117" t="s">
        <v>180</v>
      </c>
      <c r="G47" s="117" t="s">
        <v>325</v>
      </c>
      <c r="H47" s="117" t="s">
        <v>326</v>
      </c>
      <c r="I47" s="117" t="s">
        <v>327</v>
      </c>
      <c r="J47" s="117" t="s">
        <v>328</v>
      </c>
      <c r="K47" s="117" t="str">
        <f t="shared" si="4"/>
        <v>–</v>
      </c>
      <c r="L47" s="117" t="s">
        <v>69</v>
      </c>
      <c r="M47" s="154" t="s">
        <v>314</v>
      </c>
      <c r="O47" s="148" t="str">
        <f t="shared" si="2"/>
        <v>#VALUE!</v>
      </c>
      <c r="P47" s="148" t="str">
        <f t="shared" si="3"/>
        <v>#VALUE!</v>
      </c>
    </row>
    <row r="48" ht="15.75" customHeight="1">
      <c r="A48" s="150" t="s">
        <v>9</v>
      </c>
      <c r="B48" s="153" t="s">
        <v>176</v>
      </c>
      <c r="C48" s="151" t="s">
        <v>329</v>
      </c>
      <c r="D48" s="117" t="s">
        <v>310</v>
      </c>
      <c r="E48" s="117" t="s">
        <v>199</v>
      </c>
      <c r="F48" s="117" t="s">
        <v>330</v>
      </c>
      <c r="G48" s="117" t="s">
        <v>331</v>
      </c>
      <c r="H48" s="117" t="s">
        <v>278</v>
      </c>
      <c r="I48" s="117" t="s">
        <v>332</v>
      </c>
      <c r="J48" s="117" t="s">
        <v>218</v>
      </c>
      <c r="K48" s="117" t="str">
        <f t="shared" si="4"/>
        <v>–</v>
      </c>
      <c r="L48" s="117" t="s">
        <v>69</v>
      </c>
      <c r="M48" s="154" t="s">
        <v>314</v>
      </c>
      <c r="O48" s="148" t="str">
        <f t="shared" si="2"/>
        <v>P2025/NotFoundException</v>
      </c>
      <c r="P48" s="148" t="str">
        <f t="shared" si="3"/>
        <v>#VALUE!</v>
      </c>
    </row>
    <row r="49" ht="15.75" customHeight="1">
      <c r="A49" s="150" t="s">
        <v>9</v>
      </c>
      <c r="B49" s="153" t="s">
        <v>176</v>
      </c>
      <c r="C49" s="151" t="s">
        <v>333</v>
      </c>
      <c r="D49" s="117" t="s">
        <v>310</v>
      </c>
      <c r="E49" s="117" t="s">
        <v>199</v>
      </c>
      <c r="F49" s="117" t="s">
        <v>186</v>
      </c>
      <c r="G49" s="117" t="s">
        <v>331</v>
      </c>
      <c r="H49" s="117" t="s">
        <v>334</v>
      </c>
      <c r="I49" s="117" t="s">
        <v>317</v>
      </c>
      <c r="J49" s="117" t="s">
        <v>189</v>
      </c>
      <c r="K49" s="117" t="str">
        <f t="shared" si="4"/>
        <v>–</v>
      </c>
      <c r="L49" s="117" t="s">
        <v>69</v>
      </c>
      <c r="M49" s="154" t="s">
        <v>314</v>
      </c>
      <c r="O49" s="148" t="str">
        <f t="shared" si="2"/>
        <v>InternalServerErrorException</v>
      </c>
      <c r="P49" s="148" t="str">
        <f t="shared" si="3"/>
        <v>#VALUE!</v>
      </c>
    </row>
    <row r="50" ht="15.75" customHeight="1">
      <c r="A50" s="150" t="s">
        <v>9</v>
      </c>
      <c r="B50" s="153" t="s">
        <v>176</v>
      </c>
      <c r="C50" s="151" t="s">
        <v>335</v>
      </c>
      <c r="D50" s="117" t="s">
        <v>310</v>
      </c>
      <c r="E50" s="117" t="s">
        <v>208</v>
      </c>
      <c r="F50" s="117" t="s">
        <v>336</v>
      </c>
      <c r="G50" s="117" t="s">
        <v>337</v>
      </c>
      <c r="H50" s="117" t="s">
        <v>338</v>
      </c>
      <c r="I50" s="117" t="s">
        <v>339</v>
      </c>
      <c r="J50" s="117" t="s">
        <v>340</v>
      </c>
      <c r="K50" s="117" t="str">
        <f t="shared" si="4"/>
        <v>–</v>
      </c>
      <c r="L50" s="117" t="s">
        <v>69</v>
      </c>
      <c r="M50" s="154" t="s">
        <v>314</v>
      </c>
      <c r="O50" s="148" t="str">
        <f t="shared" si="2"/>
        <v>dengan files baru (hapus attachments lama)</v>
      </c>
      <c r="P50" s="148" t="str">
        <f t="shared" si="3"/>
        <v>#VALUE!</v>
      </c>
    </row>
    <row r="51" ht="15.75" customHeight="1">
      <c r="A51" s="150" t="s">
        <v>9</v>
      </c>
      <c r="B51" s="153" t="s">
        <v>176</v>
      </c>
      <c r="C51" s="151" t="s">
        <v>341</v>
      </c>
      <c r="D51" s="117" t="s">
        <v>310</v>
      </c>
      <c r="E51" s="117" t="s">
        <v>208</v>
      </c>
      <c r="F51" s="117" t="s">
        <v>342</v>
      </c>
      <c r="G51" s="117" t="s">
        <v>343</v>
      </c>
      <c r="H51" s="117" t="s">
        <v>344</v>
      </c>
      <c r="I51" s="117" t="s">
        <v>345</v>
      </c>
      <c r="J51" s="117" t="s">
        <v>346</v>
      </c>
      <c r="K51" s="117" t="str">
        <f t="shared" si="4"/>
        <v>–</v>
      </c>
      <c r="L51" s="117" t="s">
        <v>69</v>
      </c>
      <c r="M51" s="154" t="s">
        <v>314</v>
      </c>
      <c r="O51" s="148" t="str">
        <f t="shared" si="2"/>
        <v>tanpa files baru (pertahankan lama)</v>
      </c>
      <c r="P51" s="148" t="str">
        <f t="shared" si="3"/>
        <v>#VALUE!</v>
      </c>
    </row>
    <row r="52" ht="15.75" customHeight="1">
      <c r="A52" s="150" t="s">
        <v>9</v>
      </c>
      <c r="B52" s="153" t="s">
        <v>176</v>
      </c>
      <c r="C52" s="151" t="s">
        <v>347</v>
      </c>
      <c r="D52" s="117" t="s">
        <v>310</v>
      </c>
      <c r="E52" s="117" t="s">
        <v>208</v>
      </c>
      <c r="F52" s="117" t="s">
        <v>348</v>
      </c>
      <c r="G52" s="117" t="s">
        <v>331</v>
      </c>
      <c r="H52" s="117" t="s">
        <v>349</v>
      </c>
      <c r="I52" s="117" t="s">
        <v>332</v>
      </c>
      <c r="J52" s="117" t="s">
        <v>218</v>
      </c>
      <c r="K52" s="117" t="str">
        <f t="shared" si="4"/>
        <v>–</v>
      </c>
      <c r="L52" s="117" t="s">
        <v>69</v>
      </c>
      <c r="M52" s="154" t="s">
        <v>314</v>
      </c>
      <c r="O52" s="148" t="str">
        <f t="shared" si="2"/>
        <v>P2025/NotFoundException pada pre-check</v>
      </c>
      <c r="P52" s="148" t="str">
        <f t="shared" si="3"/>
        <v>#VALUE!</v>
      </c>
    </row>
    <row r="53" ht="15.0" customHeight="1">
      <c r="A53" s="150" t="s">
        <v>9</v>
      </c>
      <c r="B53" s="153" t="s">
        <v>176</v>
      </c>
      <c r="C53" s="151" t="s">
        <v>350</v>
      </c>
      <c r="D53" s="117" t="s">
        <v>310</v>
      </c>
      <c r="E53" s="117" t="s">
        <v>208</v>
      </c>
      <c r="F53" s="117" t="s">
        <v>351</v>
      </c>
      <c r="G53" s="117" t="s">
        <v>352</v>
      </c>
      <c r="H53" s="155" t="s">
        <v>353</v>
      </c>
      <c r="I53" s="117" t="s">
        <v>317</v>
      </c>
      <c r="J53" s="117" t="s">
        <v>189</v>
      </c>
      <c r="K53" s="117" t="str">
        <f t="shared" si="4"/>
        <v>–</v>
      </c>
      <c r="L53" s="117" t="s">
        <v>69</v>
      </c>
      <c r="M53" s="154" t="s">
        <v>314</v>
      </c>
    </row>
    <row r="54" ht="17.25" customHeight="1">
      <c r="A54" s="150" t="s">
        <v>9</v>
      </c>
      <c r="B54" s="153" t="s">
        <v>176</v>
      </c>
      <c r="C54" s="151" t="s">
        <v>354</v>
      </c>
      <c r="D54" s="117" t="s">
        <v>310</v>
      </c>
      <c r="E54" s="117" t="s">
        <v>226</v>
      </c>
      <c r="F54" s="117" t="s">
        <v>355</v>
      </c>
      <c r="G54" s="117" t="s">
        <v>325</v>
      </c>
      <c r="H54" s="155" t="s">
        <v>356</v>
      </c>
      <c r="I54" s="117" t="s">
        <v>357</v>
      </c>
      <c r="J54" s="117" t="s">
        <v>358</v>
      </c>
      <c r="K54" s="117" t="str">
        <f t="shared" si="4"/>
        <v>–</v>
      </c>
      <c r="L54" s="117" t="s">
        <v>69</v>
      </c>
      <c r="M54" s="154" t="s">
        <v>314</v>
      </c>
    </row>
    <row r="55" ht="15.75" customHeight="1">
      <c r="A55" s="150" t="s">
        <v>9</v>
      </c>
      <c r="B55" s="153" t="s">
        <v>176</v>
      </c>
      <c r="C55" s="151" t="s">
        <v>359</v>
      </c>
      <c r="D55" s="117" t="s">
        <v>310</v>
      </c>
      <c r="E55" s="117" t="s">
        <v>226</v>
      </c>
      <c r="F55" s="117" t="s">
        <v>348</v>
      </c>
      <c r="G55" s="117" t="s">
        <v>331</v>
      </c>
      <c r="H55" s="117" t="s">
        <v>360</v>
      </c>
      <c r="I55" s="117" t="s">
        <v>332</v>
      </c>
      <c r="J55" s="117" t="s">
        <v>218</v>
      </c>
      <c r="K55" s="117" t="str">
        <f t="shared" si="4"/>
        <v>–</v>
      </c>
      <c r="L55" s="117" t="s">
        <v>69</v>
      </c>
      <c r="M55" s="154" t="s">
        <v>314</v>
      </c>
    </row>
    <row r="56" ht="15.75" customHeight="1">
      <c r="A56" s="150" t="s">
        <v>9</v>
      </c>
      <c r="B56" s="153" t="s">
        <v>176</v>
      </c>
      <c r="C56" s="151" t="s">
        <v>361</v>
      </c>
      <c r="D56" s="117" t="s">
        <v>310</v>
      </c>
      <c r="E56" s="117" t="s">
        <v>226</v>
      </c>
      <c r="F56" s="117" t="s">
        <v>362</v>
      </c>
      <c r="G56" s="117" t="s">
        <v>325</v>
      </c>
      <c r="H56" s="117" t="s">
        <v>360</v>
      </c>
      <c r="I56" s="117" t="s">
        <v>317</v>
      </c>
      <c r="J56" s="117" t="s">
        <v>189</v>
      </c>
      <c r="K56" s="117" t="str">
        <f t="shared" si="4"/>
        <v>–</v>
      </c>
      <c r="L56" s="117" t="s">
        <v>69</v>
      </c>
      <c r="M56" s="154" t="s">
        <v>314</v>
      </c>
    </row>
    <row r="57" ht="15.75" customHeight="1">
      <c r="A57" s="150" t="s">
        <v>9</v>
      </c>
      <c r="B57" s="153" t="s">
        <v>176</v>
      </c>
      <c r="C57" s="151" t="s">
        <v>363</v>
      </c>
      <c r="D57" s="117" t="s">
        <v>310</v>
      </c>
      <c r="E57" s="117" t="s">
        <v>364</v>
      </c>
      <c r="F57" s="117" t="s">
        <v>365</v>
      </c>
      <c r="G57" s="117" t="s">
        <v>325</v>
      </c>
      <c r="H57" s="117" t="s">
        <v>366</v>
      </c>
      <c r="I57" s="117" t="s">
        <v>367</v>
      </c>
      <c r="J57" s="117" t="s">
        <v>368</v>
      </c>
      <c r="K57" s="117" t="str">
        <f t="shared" si="4"/>
        <v>–</v>
      </c>
      <c r="L57" s="117" t="s">
        <v>69</v>
      </c>
      <c r="M57" s="154" t="s">
        <v>314</v>
      </c>
    </row>
    <row r="58" ht="15.75" customHeight="1">
      <c r="A58" s="150" t="s">
        <v>9</v>
      </c>
      <c r="B58" s="153" t="s">
        <v>176</v>
      </c>
      <c r="C58" s="151" t="s">
        <v>369</v>
      </c>
      <c r="D58" s="152" t="s">
        <v>310</v>
      </c>
      <c r="E58" s="152" t="s">
        <v>364</v>
      </c>
      <c r="F58" s="152" t="s">
        <v>186</v>
      </c>
      <c r="G58" s="117" t="s">
        <v>325</v>
      </c>
      <c r="H58" s="152" t="s">
        <v>366</v>
      </c>
      <c r="I58" s="152" t="s">
        <v>317</v>
      </c>
      <c r="J58" s="152" t="s">
        <v>189</v>
      </c>
      <c r="K58" s="152" t="str">
        <f t="shared" si="4"/>
        <v>–</v>
      </c>
      <c r="L58" s="152" t="s">
        <v>69</v>
      </c>
      <c r="M58" s="154" t="s">
        <v>314</v>
      </c>
    </row>
    <row r="59" ht="15.75" customHeight="1">
      <c r="A59" s="150" t="s">
        <v>9</v>
      </c>
      <c r="B59" s="153" t="s">
        <v>176</v>
      </c>
      <c r="C59" s="151" t="s">
        <v>370</v>
      </c>
      <c r="D59" s="117" t="s">
        <v>371</v>
      </c>
      <c r="E59" s="117" t="s">
        <v>179</v>
      </c>
      <c r="F59" s="117" t="s">
        <v>180</v>
      </c>
      <c r="G59" s="117" t="s">
        <v>372</v>
      </c>
      <c r="H59" s="117" t="s">
        <v>182</v>
      </c>
      <c r="I59" s="117" t="s">
        <v>373</v>
      </c>
      <c r="J59" s="117" t="s">
        <v>374</v>
      </c>
      <c r="K59" s="152" t="str">
        <f t="shared" si="4"/>
        <v>–</v>
      </c>
      <c r="L59" s="117" t="s">
        <v>69</v>
      </c>
      <c r="M59" s="156" t="s">
        <v>375</v>
      </c>
    </row>
    <row r="60" ht="15.75" customHeight="1">
      <c r="A60" s="150" t="s">
        <v>9</v>
      </c>
      <c r="B60" s="153" t="s">
        <v>176</v>
      </c>
      <c r="C60" s="151" t="s">
        <v>376</v>
      </c>
      <c r="D60" s="117" t="s">
        <v>371</v>
      </c>
      <c r="E60" s="117" t="s">
        <v>179</v>
      </c>
      <c r="F60" s="117" t="s">
        <v>186</v>
      </c>
      <c r="G60" s="117" t="s">
        <v>316</v>
      </c>
      <c r="H60" s="117" t="s">
        <v>182</v>
      </c>
      <c r="I60" s="117" t="s">
        <v>317</v>
      </c>
      <c r="J60" s="117" t="s">
        <v>377</v>
      </c>
      <c r="K60" s="152" t="str">
        <f t="shared" si="4"/>
        <v>–</v>
      </c>
      <c r="L60" s="117" t="s">
        <v>69</v>
      </c>
      <c r="M60" s="156" t="s">
        <v>375</v>
      </c>
    </row>
    <row r="61" ht="15.75" customHeight="1">
      <c r="A61" s="150" t="s">
        <v>9</v>
      </c>
      <c r="B61" s="153" t="s">
        <v>176</v>
      </c>
      <c r="C61" s="151" t="s">
        <v>378</v>
      </c>
      <c r="D61" s="117" t="s">
        <v>371</v>
      </c>
      <c r="E61" s="117" t="s">
        <v>191</v>
      </c>
      <c r="F61" s="117" t="s">
        <v>379</v>
      </c>
      <c r="G61" s="117" t="s">
        <v>320</v>
      </c>
      <c r="H61" s="117" t="s">
        <v>194</v>
      </c>
      <c r="I61" s="117" t="s">
        <v>380</v>
      </c>
      <c r="J61" s="117" t="s">
        <v>381</v>
      </c>
      <c r="K61" s="152" t="str">
        <f t="shared" si="4"/>
        <v>–</v>
      </c>
      <c r="L61" s="117" t="s">
        <v>69</v>
      </c>
      <c r="M61" s="156" t="s">
        <v>375</v>
      </c>
    </row>
    <row r="62" ht="15.75" customHeight="1">
      <c r="A62" s="150" t="s">
        <v>9</v>
      </c>
      <c r="B62" s="153" t="s">
        <v>176</v>
      </c>
      <c r="C62" s="151" t="s">
        <v>382</v>
      </c>
      <c r="D62" s="117" t="s">
        <v>371</v>
      </c>
      <c r="E62" s="117" t="s">
        <v>191</v>
      </c>
      <c r="F62" s="117" t="s">
        <v>186</v>
      </c>
      <c r="G62" s="117" t="s">
        <v>320</v>
      </c>
      <c r="H62" s="117" t="s">
        <v>194</v>
      </c>
      <c r="I62" s="117" t="s">
        <v>317</v>
      </c>
      <c r="J62" s="117" t="s">
        <v>377</v>
      </c>
      <c r="K62" s="152" t="str">
        <f t="shared" si="4"/>
        <v>–</v>
      </c>
      <c r="L62" s="117" t="s">
        <v>69</v>
      </c>
      <c r="M62" s="156" t="s">
        <v>375</v>
      </c>
    </row>
    <row r="63" ht="15.75" customHeight="1">
      <c r="A63" s="150" t="s">
        <v>9</v>
      </c>
      <c r="B63" s="153" t="s">
        <v>176</v>
      </c>
      <c r="C63" s="151" t="s">
        <v>383</v>
      </c>
      <c r="D63" s="117" t="s">
        <v>371</v>
      </c>
      <c r="E63" s="117" t="s">
        <v>199</v>
      </c>
      <c r="F63" s="117" t="s">
        <v>384</v>
      </c>
      <c r="G63" s="117" t="s">
        <v>385</v>
      </c>
      <c r="H63" s="117" t="s">
        <v>202</v>
      </c>
      <c r="I63" s="117" t="s">
        <v>386</v>
      </c>
      <c r="J63" s="117" t="s">
        <v>387</v>
      </c>
      <c r="K63" s="152" t="str">
        <f t="shared" si="4"/>
        <v>–</v>
      </c>
      <c r="L63" s="117" t="s">
        <v>69</v>
      </c>
      <c r="M63" s="156" t="s">
        <v>375</v>
      </c>
    </row>
    <row r="64" ht="15.75" customHeight="1">
      <c r="A64" s="150" t="s">
        <v>9</v>
      </c>
      <c r="B64" s="153" t="s">
        <v>176</v>
      </c>
      <c r="C64" s="151" t="s">
        <v>388</v>
      </c>
      <c r="D64" s="117" t="s">
        <v>371</v>
      </c>
      <c r="E64" s="117" t="s">
        <v>199</v>
      </c>
      <c r="F64" s="117" t="s">
        <v>186</v>
      </c>
      <c r="G64" s="117" t="s">
        <v>389</v>
      </c>
      <c r="H64" s="117" t="s">
        <v>206</v>
      </c>
      <c r="I64" s="117" t="s">
        <v>317</v>
      </c>
      <c r="J64" s="117" t="s">
        <v>377</v>
      </c>
      <c r="K64" s="152" t="str">
        <f t="shared" si="4"/>
        <v>–</v>
      </c>
      <c r="L64" s="117" t="s">
        <v>69</v>
      </c>
      <c r="M64" s="156" t="s">
        <v>375</v>
      </c>
    </row>
    <row r="65" ht="15.75" customHeight="1">
      <c r="A65" s="150" t="s">
        <v>9</v>
      </c>
      <c r="B65" s="153" t="s">
        <v>176</v>
      </c>
      <c r="C65" s="151" t="s">
        <v>390</v>
      </c>
      <c r="D65" s="117" t="s">
        <v>371</v>
      </c>
      <c r="E65" s="117" t="s">
        <v>208</v>
      </c>
      <c r="F65" s="117" t="s">
        <v>391</v>
      </c>
      <c r="G65" s="117" t="s">
        <v>392</v>
      </c>
      <c r="H65" s="117" t="s">
        <v>393</v>
      </c>
      <c r="I65" s="117" t="s">
        <v>394</v>
      </c>
      <c r="J65" s="117" t="s">
        <v>395</v>
      </c>
      <c r="K65" s="152" t="str">
        <f t="shared" si="4"/>
        <v>–</v>
      </c>
      <c r="L65" s="117" t="s">
        <v>69</v>
      </c>
      <c r="M65" s="156" t="s">
        <v>375</v>
      </c>
    </row>
    <row r="66" ht="15.75" customHeight="1">
      <c r="A66" s="150" t="s">
        <v>9</v>
      </c>
      <c r="B66" s="153" t="s">
        <v>176</v>
      </c>
      <c r="C66" s="151" t="s">
        <v>396</v>
      </c>
      <c r="D66" s="117" t="s">
        <v>371</v>
      </c>
      <c r="E66" s="117" t="s">
        <v>208</v>
      </c>
      <c r="F66" s="117" t="s">
        <v>290</v>
      </c>
      <c r="G66" s="117" t="s">
        <v>331</v>
      </c>
      <c r="H66" s="117" t="s">
        <v>397</v>
      </c>
      <c r="I66" s="117" t="s">
        <v>332</v>
      </c>
      <c r="J66" s="117" t="s">
        <v>398</v>
      </c>
      <c r="K66" s="152" t="str">
        <f t="shared" si="4"/>
        <v>–</v>
      </c>
      <c r="L66" s="117" t="s">
        <v>69</v>
      </c>
      <c r="M66" s="156" t="s">
        <v>375</v>
      </c>
    </row>
    <row r="67" ht="15.75" customHeight="1">
      <c r="A67" s="150" t="s">
        <v>9</v>
      </c>
      <c r="B67" s="153" t="s">
        <v>176</v>
      </c>
      <c r="C67" s="151" t="s">
        <v>399</v>
      </c>
      <c r="D67" s="117" t="s">
        <v>371</v>
      </c>
      <c r="E67" s="117" t="s">
        <v>208</v>
      </c>
      <c r="F67" s="117" t="s">
        <v>400</v>
      </c>
      <c r="G67" s="117" t="s">
        <v>331</v>
      </c>
      <c r="H67" s="117" t="s">
        <v>397</v>
      </c>
      <c r="I67" s="117" t="s">
        <v>332</v>
      </c>
      <c r="J67" s="117" t="s">
        <v>398</v>
      </c>
      <c r="K67" s="152" t="str">
        <f t="shared" si="4"/>
        <v>–</v>
      </c>
      <c r="L67" s="117" t="s">
        <v>69</v>
      </c>
      <c r="M67" s="156" t="s">
        <v>375</v>
      </c>
    </row>
    <row r="68" ht="15.75" customHeight="1">
      <c r="A68" s="150" t="s">
        <v>9</v>
      </c>
      <c r="B68" s="153" t="s">
        <v>176</v>
      </c>
      <c r="C68" s="151" t="s">
        <v>401</v>
      </c>
      <c r="D68" s="117" t="s">
        <v>371</v>
      </c>
      <c r="E68" s="117" t="s">
        <v>208</v>
      </c>
      <c r="F68" s="117" t="s">
        <v>351</v>
      </c>
      <c r="G68" s="117" t="s">
        <v>385</v>
      </c>
      <c r="H68" s="117" t="s">
        <v>393</v>
      </c>
      <c r="I68" s="117" t="s">
        <v>317</v>
      </c>
      <c r="J68" s="117" t="s">
        <v>377</v>
      </c>
      <c r="K68" s="152" t="str">
        <f t="shared" si="4"/>
        <v>–</v>
      </c>
      <c r="L68" s="117" t="s">
        <v>69</v>
      </c>
      <c r="M68" s="156" t="s">
        <v>375</v>
      </c>
    </row>
    <row r="69" ht="15.75" customHeight="1">
      <c r="A69" s="150" t="s">
        <v>9</v>
      </c>
      <c r="B69" s="153" t="s">
        <v>176</v>
      </c>
      <c r="C69" s="151" t="s">
        <v>402</v>
      </c>
      <c r="D69" s="117" t="s">
        <v>371</v>
      </c>
      <c r="E69" s="117" t="s">
        <v>226</v>
      </c>
      <c r="F69" s="117" t="s">
        <v>403</v>
      </c>
      <c r="G69" s="117" t="s">
        <v>385</v>
      </c>
      <c r="H69" s="117" t="s">
        <v>229</v>
      </c>
      <c r="I69" s="117" t="s">
        <v>404</v>
      </c>
      <c r="J69" s="117" t="s">
        <v>405</v>
      </c>
      <c r="K69" s="152" t="str">
        <f t="shared" si="4"/>
        <v>–</v>
      </c>
      <c r="L69" s="117" t="s">
        <v>69</v>
      </c>
      <c r="M69" s="156" t="s">
        <v>375</v>
      </c>
    </row>
    <row r="70" ht="15.75" customHeight="1">
      <c r="A70" s="150" t="s">
        <v>9</v>
      </c>
      <c r="B70" s="153" t="s">
        <v>176</v>
      </c>
      <c r="C70" s="151" t="s">
        <v>406</v>
      </c>
      <c r="D70" s="117" t="s">
        <v>371</v>
      </c>
      <c r="E70" s="117" t="s">
        <v>226</v>
      </c>
      <c r="F70" s="117" t="s">
        <v>290</v>
      </c>
      <c r="G70" s="117" t="s">
        <v>331</v>
      </c>
      <c r="H70" s="117" t="s">
        <v>233</v>
      </c>
      <c r="I70" s="117" t="s">
        <v>332</v>
      </c>
      <c r="J70" s="117" t="s">
        <v>398</v>
      </c>
      <c r="K70" s="152" t="str">
        <f t="shared" si="4"/>
        <v>–</v>
      </c>
      <c r="L70" s="117" t="s">
        <v>69</v>
      </c>
      <c r="M70" s="156" t="s">
        <v>375</v>
      </c>
    </row>
    <row r="71" ht="15.75" customHeight="1">
      <c r="A71" s="150" t="s">
        <v>9</v>
      </c>
      <c r="B71" s="153" t="s">
        <v>176</v>
      </c>
      <c r="C71" s="151" t="s">
        <v>407</v>
      </c>
      <c r="D71" s="117" t="s">
        <v>371</v>
      </c>
      <c r="E71" s="117" t="s">
        <v>226</v>
      </c>
      <c r="F71" s="117" t="s">
        <v>400</v>
      </c>
      <c r="G71" s="117" t="s">
        <v>331</v>
      </c>
      <c r="H71" s="117" t="s">
        <v>233</v>
      </c>
      <c r="I71" s="117" t="s">
        <v>332</v>
      </c>
      <c r="J71" s="117" t="s">
        <v>398</v>
      </c>
      <c r="K71" s="152" t="str">
        <f t="shared" si="4"/>
        <v>–</v>
      </c>
      <c r="L71" s="117" t="s">
        <v>69</v>
      </c>
      <c r="M71" s="156" t="s">
        <v>375</v>
      </c>
    </row>
    <row r="72" ht="15.75" customHeight="1">
      <c r="A72" s="150" t="s">
        <v>9</v>
      </c>
      <c r="B72" s="153" t="s">
        <v>176</v>
      </c>
      <c r="C72" s="151" t="s">
        <v>408</v>
      </c>
      <c r="D72" s="152" t="s">
        <v>371</v>
      </c>
      <c r="E72" s="152" t="s">
        <v>226</v>
      </c>
      <c r="F72" s="152" t="s">
        <v>362</v>
      </c>
      <c r="G72" s="152" t="s">
        <v>385</v>
      </c>
      <c r="H72" s="152" t="s">
        <v>229</v>
      </c>
      <c r="I72" s="152" t="s">
        <v>317</v>
      </c>
      <c r="J72" s="152" t="s">
        <v>377</v>
      </c>
      <c r="K72" s="152" t="str">
        <f t="shared" si="4"/>
        <v>–</v>
      </c>
      <c r="L72" s="152" t="s">
        <v>69</v>
      </c>
      <c r="M72" s="157" t="s">
        <v>375</v>
      </c>
    </row>
    <row r="73" ht="15.75" customHeight="1">
      <c r="A73" s="150" t="s">
        <v>9</v>
      </c>
      <c r="B73" s="153" t="s">
        <v>176</v>
      </c>
      <c r="C73" s="151" t="s">
        <v>409</v>
      </c>
      <c r="D73" s="117" t="s">
        <v>410</v>
      </c>
      <c r="E73" s="117" t="s">
        <v>179</v>
      </c>
      <c r="F73" s="117" t="s">
        <v>180</v>
      </c>
      <c r="G73" s="117" t="s">
        <v>411</v>
      </c>
      <c r="H73" s="117" t="s">
        <v>182</v>
      </c>
      <c r="I73" s="117" t="s">
        <v>412</v>
      </c>
      <c r="J73" s="117" t="s">
        <v>413</v>
      </c>
      <c r="K73" s="152" t="str">
        <f t="shared" si="4"/>
        <v>–</v>
      </c>
      <c r="L73" s="117" t="s">
        <v>69</v>
      </c>
      <c r="M73" s="156" t="s">
        <v>375</v>
      </c>
    </row>
    <row r="74" ht="15.75" customHeight="1">
      <c r="A74" s="150" t="s">
        <v>9</v>
      </c>
      <c r="B74" s="153" t="s">
        <v>176</v>
      </c>
      <c r="C74" s="151" t="s">
        <v>414</v>
      </c>
      <c r="D74" s="117" t="s">
        <v>410</v>
      </c>
      <c r="E74" s="117" t="s">
        <v>179</v>
      </c>
      <c r="F74" s="117" t="s">
        <v>186</v>
      </c>
      <c r="G74" s="117" t="s">
        <v>316</v>
      </c>
      <c r="H74" s="117" t="s">
        <v>182</v>
      </c>
      <c r="I74" s="117" t="s">
        <v>317</v>
      </c>
      <c r="J74" s="117" t="s">
        <v>377</v>
      </c>
      <c r="K74" s="152" t="str">
        <f t="shared" si="4"/>
        <v>–</v>
      </c>
      <c r="L74" s="117" t="s">
        <v>69</v>
      </c>
      <c r="M74" s="156" t="s">
        <v>375</v>
      </c>
    </row>
    <row r="75" ht="15.75" customHeight="1">
      <c r="A75" s="150" t="s">
        <v>9</v>
      </c>
      <c r="B75" s="153" t="s">
        <v>176</v>
      </c>
      <c r="C75" s="151" t="s">
        <v>415</v>
      </c>
      <c r="D75" s="117" t="s">
        <v>410</v>
      </c>
      <c r="E75" s="117" t="s">
        <v>191</v>
      </c>
      <c r="F75" s="117" t="s">
        <v>319</v>
      </c>
      <c r="G75" s="117" t="s">
        <v>320</v>
      </c>
      <c r="H75" s="117" t="s">
        <v>194</v>
      </c>
      <c r="I75" s="117" t="s">
        <v>416</v>
      </c>
      <c r="J75" s="117" t="s">
        <v>417</v>
      </c>
      <c r="K75" s="152" t="str">
        <f t="shared" si="4"/>
        <v>–</v>
      </c>
      <c r="L75" s="117" t="s">
        <v>69</v>
      </c>
      <c r="M75" s="156" t="s">
        <v>375</v>
      </c>
    </row>
    <row r="76" ht="15.75" customHeight="1">
      <c r="A76" s="150" t="s">
        <v>9</v>
      </c>
      <c r="B76" s="153" t="s">
        <v>176</v>
      </c>
      <c r="C76" s="151" t="s">
        <v>418</v>
      </c>
      <c r="D76" s="117" t="s">
        <v>410</v>
      </c>
      <c r="E76" s="117" t="s">
        <v>191</v>
      </c>
      <c r="F76" s="117" t="s">
        <v>186</v>
      </c>
      <c r="G76" s="117" t="s">
        <v>320</v>
      </c>
      <c r="H76" s="117" t="s">
        <v>194</v>
      </c>
      <c r="I76" s="117" t="s">
        <v>317</v>
      </c>
      <c r="J76" s="117" t="s">
        <v>377</v>
      </c>
      <c r="K76" s="152" t="str">
        <f t="shared" si="4"/>
        <v>–</v>
      </c>
      <c r="L76" s="117" t="s">
        <v>69</v>
      </c>
      <c r="M76" s="156" t="s">
        <v>375</v>
      </c>
    </row>
    <row r="77" ht="15.75" customHeight="1">
      <c r="A77" s="150" t="s">
        <v>9</v>
      </c>
      <c r="B77" s="153" t="s">
        <v>176</v>
      </c>
      <c r="C77" s="151" t="s">
        <v>419</v>
      </c>
      <c r="D77" s="117" t="s">
        <v>410</v>
      </c>
      <c r="E77" s="117" t="s">
        <v>199</v>
      </c>
      <c r="F77" s="117" t="s">
        <v>420</v>
      </c>
      <c r="G77" s="117" t="s">
        <v>421</v>
      </c>
      <c r="H77" s="117" t="s">
        <v>422</v>
      </c>
      <c r="I77" s="117" t="s">
        <v>423</v>
      </c>
      <c r="J77" s="117" t="s">
        <v>424</v>
      </c>
      <c r="K77" s="152" t="str">
        <f t="shared" si="4"/>
        <v>–</v>
      </c>
      <c r="L77" s="117" t="s">
        <v>69</v>
      </c>
      <c r="M77" s="156" t="s">
        <v>375</v>
      </c>
    </row>
    <row r="78" ht="15.75" customHeight="1">
      <c r="A78" s="150" t="s">
        <v>9</v>
      </c>
      <c r="B78" s="153" t="s">
        <v>176</v>
      </c>
      <c r="C78" s="151" t="s">
        <v>425</v>
      </c>
      <c r="D78" s="117" t="s">
        <v>410</v>
      </c>
      <c r="E78" s="117" t="s">
        <v>199</v>
      </c>
      <c r="F78" s="117" t="s">
        <v>186</v>
      </c>
      <c r="G78" s="117" t="s">
        <v>389</v>
      </c>
      <c r="H78" s="117" t="s">
        <v>206</v>
      </c>
      <c r="I78" s="117" t="s">
        <v>317</v>
      </c>
      <c r="J78" s="117" t="s">
        <v>377</v>
      </c>
      <c r="K78" s="152" t="str">
        <f t="shared" si="4"/>
        <v>–</v>
      </c>
      <c r="L78" s="117" t="s">
        <v>69</v>
      </c>
      <c r="M78" s="156" t="s">
        <v>375</v>
      </c>
    </row>
    <row r="79" ht="15.75" customHeight="1">
      <c r="A79" s="150" t="s">
        <v>9</v>
      </c>
      <c r="B79" s="153" t="s">
        <v>176</v>
      </c>
      <c r="C79" s="151" t="s">
        <v>426</v>
      </c>
      <c r="D79" s="117" t="s">
        <v>410</v>
      </c>
      <c r="E79" s="117" t="s">
        <v>208</v>
      </c>
      <c r="F79" s="117" t="s">
        <v>391</v>
      </c>
      <c r="G79" s="117" t="s">
        <v>427</v>
      </c>
      <c r="H79" s="117" t="s">
        <v>428</v>
      </c>
      <c r="I79" s="117" t="s">
        <v>394</v>
      </c>
      <c r="J79" s="117" t="s">
        <v>429</v>
      </c>
      <c r="K79" s="152" t="str">
        <f t="shared" si="4"/>
        <v>–</v>
      </c>
      <c r="L79" s="117" t="s">
        <v>69</v>
      </c>
      <c r="M79" s="156" t="s">
        <v>375</v>
      </c>
    </row>
    <row r="80" ht="15.75" customHeight="1">
      <c r="A80" s="150" t="s">
        <v>9</v>
      </c>
      <c r="B80" s="153" t="s">
        <v>176</v>
      </c>
      <c r="C80" s="151" t="s">
        <v>430</v>
      </c>
      <c r="D80" s="117" t="s">
        <v>410</v>
      </c>
      <c r="E80" s="117" t="s">
        <v>208</v>
      </c>
      <c r="F80" s="117" t="s">
        <v>290</v>
      </c>
      <c r="G80" s="117" t="s">
        <v>331</v>
      </c>
      <c r="H80" s="117" t="s">
        <v>397</v>
      </c>
      <c r="I80" s="117" t="s">
        <v>332</v>
      </c>
      <c r="J80" s="117" t="s">
        <v>398</v>
      </c>
      <c r="K80" s="152" t="str">
        <f t="shared" si="4"/>
        <v>–</v>
      </c>
      <c r="L80" s="117" t="s">
        <v>69</v>
      </c>
      <c r="M80" s="156" t="s">
        <v>375</v>
      </c>
    </row>
    <row r="81" ht="15.75" customHeight="1">
      <c r="A81" s="150" t="s">
        <v>9</v>
      </c>
      <c r="B81" s="153" t="s">
        <v>176</v>
      </c>
      <c r="C81" s="151" t="s">
        <v>431</v>
      </c>
      <c r="D81" s="117" t="s">
        <v>410</v>
      </c>
      <c r="E81" s="117" t="s">
        <v>208</v>
      </c>
      <c r="F81" s="117" t="s">
        <v>400</v>
      </c>
      <c r="G81" s="117" t="s">
        <v>331</v>
      </c>
      <c r="H81" s="117" t="s">
        <v>397</v>
      </c>
      <c r="I81" s="117" t="s">
        <v>332</v>
      </c>
      <c r="J81" s="117" t="s">
        <v>398</v>
      </c>
      <c r="K81" s="152" t="str">
        <f t="shared" si="4"/>
        <v>–</v>
      </c>
      <c r="L81" s="117" t="s">
        <v>69</v>
      </c>
      <c r="M81" s="156" t="s">
        <v>375</v>
      </c>
    </row>
    <row r="82" ht="15.75" customHeight="1">
      <c r="A82" s="150" t="s">
        <v>9</v>
      </c>
      <c r="B82" s="153" t="s">
        <v>176</v>
      </c>
      <c r="C82" s="151" t="s">
        <v>432</v>
      </c>
      <c r="D82" s="117" t="s">
        <v>410</v>
      </c>
      <c r="E82" s="117" t="s">
        <v>208</v>
      </c>
      <c r="F82" s="117" t="s">
        <v>351</v>
      </c>
      <c r="G82" s="117" t="s">
        <v>421</v>
      </c>
      <c r="H82" s="117" t="s">
        <v>428</v>
      </c>
      <c r="I82" s="117" t="s">
        <v>317</v>
      </c>
      <c r="J82" s="117" t="s">
        <v>377</v>
      </c>
      <c r="K82" s="152" t="str">
        <f t="shared" si="4"/>
        <v>–</v>
      </c>
      <c r="L82" s="117" t="s">
        <v>69</v>
      </c>
      <c r="M82" s="156" t="s">
        <v>375</v>
      </c>
    </row>
    <row r="83" ht="15.75" customHeight="1">
      <c r="A83" s="150" t="s">
        <v>9</v>
      </c>
      <c r="B83" s="153" t="s">
        <v>176</v>
      </c>
      <c r="C83" s="151" t="s">
        <v>433</v>
      </c>
      <c r="D83" s="117" t="s">
        <v>410</v>
      </c>
      <c r="E83" s="117" t="s">
        <v>226</v>
      </c>
      <c r="F83" s="117" t="s">
        <v>434</v>
      </c>
      <c r="G83" s="117" t="s">
        <v>421</v>
      </c>
      <c r="H83" s="117" t="s">
        <v>435</v>
      </c>
      <c r="I83" s="117" t="s">
        <v>404</v>
      </c>
      <c r="J83" s="117" t="s">
        <v>436</v>
      </c>
      <c r="K83" s="152" t="str">
        <f t="shared" si="4"/>
        <v>–</v>
      </c>
      <c r="L83" s="117" t="s">
        <v>69</v>
      </c>
      <c r="M83" s="156" t="s">
        <v>375</v>
      </c>
    </row>
    <row r="84" ht="15.75" customHeight="1">
      <c r="A84" s="150" t="s">
        <v>9</v>
      </c>
      <c r="B84" s="153" t="s">
        <v>176</v>
      </c>
      <c r="C84" s="151" t="s">
        <v>437</v>
      </c>
      <c r="D84" s="117" t="s">
        <v>410</v>
      </c>
      <c r="E84" s="117" t="s">
        <v>226</v>
      </c>
      <c r="F84" s="117" t="s">
        <v>256</v>
      </c>
      <c r="G84" s="117" t="s">
        <v>331</v>
      </c>
      <c r="H84" s="117" t="s">
        <v>233</v>
      </c>
      <c r="I84" s="117" t="s">
        <v>332</v>
      </c>
      <c r="J84" s="117" t="s">
        <v>398</v>
      </c>
      <c r="K84" s="152" t="str">
        <f t="shared" si="4"/>
        <v>–</v>
      </c>
      <c r="L84" s="117" t="s">
        <v>69</v>
      </c>
      <c r="M84" s="156" t="s">
        <v>375</v>
      </c>
    </row>
    <row r="85" ht="15.75" customHeight="1">
      <c r="A85" s="150" t="s">
        <v>9</v>
      </c>
      <c r="B85" s="153" t="s">
        <v>176</v>
      </c>
      <c r="C85" s="151" t="s">
        <v>438</v>
      </c>
      <c r="D85" s="117" t="s">
        <v>410</v>
      </c>
      <c r="E85" s="117" t="s">
        <v>226</v>
      </c>
      <c r="F85" s="117" t="s">
        <v>439</v>
      </c>
      <c r="G85" s="117" t="s">
        <v>331</v>
      </c>
      <c r="H85" s="117" t="s">
        <v>233</v>
      </c>
      <c r="I85" s="117" t="s">
        <v>332</v>
      </c>
      <c r="J85" s="117" t="s">
        <v>398</v>
      </c>
      <c r="K85" s="152" t="str">
        <f t="shared" si="4"/>
        <v>–</v>
      </c>
      <c r="L85" s="117" t="s">
        <v>69</v>
      </c>
      <c r="M85" s="156" t="s">
        <v>375</v>
      </c>
    </row>
    <row r="86" ht="15.75" customHeight="1">
      <c r="A86" s="150" t="s">
        <v>9</v>
      </c>
      <c r="B86" s="153" t="s">
        <v>176</v>
      </c>
      <c r="C86" s="151" t="s">
        <v>440</v>
      </c>
      <c r="D86" s="152" t="s">
        <v>410</v>
      </c>
      <c r="E86" s="152" t="s">
        <v>226</v>
      </c>
      <c r="F86" s="152" t="s">
        <v>362</v>
      </c>
      <c r="G86" s="152" t="s">
        <v>421</v>
      </c>
      <c r="H86" s="152" t="s">
        <v>435</v>
      </c>
      <c r="I86" s="152" t="s">
        <v>317</v>
      </c>
      <c r="J86" s="152" t="s">
        <v>377</v>
      </c>
      <c r="K86" s="152" t="str">
        <f t="shared" si="4"/>
        <v>–</v>
      </c>
      <c r="L86" s="152" t="s">
        <v>69</v>
      </c>
      <c r="M86" s="157" t="s">
        <v>375</v>
      </c>
    </row>
    <row r="87" ht="15.75" customHeight="1">
      <c r="A87" s="150" t="s">
        <v>9</v>
      </c>
      <c r="B87" s="153" t="s">
        <v>176</v>
      </c>
      <c r="C87" s="151" t="s">
        <v>441</v>
      </c>
      <c r="D87" s="117" t="s">
        <v>442</v>
      </c>
      <c r="E87" s="117" t="s">
        <v>179</v>
      </c>
      <c r="F87" s="117" t="s">
        <v>180</v>
      </c>
      <c r="G87" s="117" t="s">
        <v>443</v>
      </c>
      <c r="H87" s="117" t="s">
        <v>182</v>
      </c>
      <c r="I87" s="117" t="s">
        <v>444</v>
      </c>
      <c r="J87" s="117" t="s">
        <v>445</v>
      </c>
      <c r="K87" s="152" t="str">
        <f t="shared" si="4"/>
        <v>–</v>
      </c>
      <c r="L87" s="117" t="s">
        <v>69</v>
      </c>
      <c r="M87" s="156" t="s">
        <v>375</v>
      </c>
    </row>
    <row r="88" ht="15.75" customHeight="1">
      <c r="A88" s="150" t="s">
        <v>9</v>
      </c>
      <c r="B88" s="153" t="s">
        <v>176</v>
      </c>
      <c r="C88" s="151" t="s">
        <v>446</v>
      </c>
      <c r="D88" s="117" t="s">
        <v>442</v>
      </c>
      <c r="E88" s="117" t="s">
        <v>179</v>
      </c>
      <c r="F88" s="117" t="s">
        <v>186</v>
      </c>
      <c r="G88" s="117" t="s">
        <v>316</v>
      </c>
      <c r="H88" s="117" t="s">
        <v>182</v>
      </c>
      <c r="I88" s="117" t="s">
        <v>317</v>
      </c>
      <c r="J88" s="117" t="s">
        <v>377</v>
      </c>
      <c r="K88" s="152" t="str">
        <f t="shared" si="4"/>
        <v>–</v>
      </c>
      <c r="L88" s="117" t="s">
        <v>69</v>
      </c>
      <c r="M88" s="156" t="s">
        <v>375</v>
      </c>
    </row>
    <row r="89" ht="15.75" customHeight="1">
      <c r="A89" s="150" t="s">
        <v>9</v>
      </c>
      <c r="B89" s="153" t="s">
        <v>176</v>
      </c>
      <c r="C89" s="151" t="s">
        <v>447</v>
      </c>
      <c r="D89" s="117" t="s">
        <v>442</v>
      </c>
      <c r="E89" s="117" t="s">
        <v>191</v>
      </c>
      <c r="F89" s="117" t="s">
        <v>448</v>
      </c>
      <c r="G89" s="117" t="s">
        <v>320</v>
      </c>
      <c r="H89" s="117" t="s">
        <v>194</v>
      </c>
      <c r="I89" s="117" t="s">
        <v>449</v>
      </c>
      <c r="J89" s="117" t="s">
        <v>450</v>
      </c>
      <c r="K89" s="152" t="str">
        <f t="shared" si="4"/>
        <v>–</v>
      </c>
      <c r="L89" s="117" t="s">
        <v>69</v>
      </c>
      <c r="M89" s="156" t="s">
        <v>375</v>
      </c>
    </row>
    <row r="90" ht="15.75" customHeight="1">
      <c r="A90" s="150" t="s">
        <v>9</v>
      </c>
      <c r="B90" s="153" t="s">
        <v>176</v>
      </c>
      <c r="C90" s="151" t="s">
        <v>451</v>
      </c>
      <c r="D90" s="117" t="s">
        <v>442</v>
      </c>
      <c r="E90" s="117" t="s">
        <v>191</v>
      </c>
      <c r="F90" s="117" t="s">
        <v>186</v>
      </c>
      <c r="G90" s="117" t="s">
        <v>320</v>
      </c>
      <c r="H90" s="117" t="s">
        <v>194</v>
      </c>
      <c r="I90" s="117" t="s">
        <v>317</v>
      </c>
      <c r="J90" s="117" t="s">
        <v>377</v>
      </c>
      <c r="K90" s="152" t="str">
        <f t="shared" si="4"/>
        <v>–</v>
      </c>
      <c r="L90" s="117" t="s">
        <v>69</v>
      </c>
      <c r="M90" s="156" t="s">
        <v>375</v>
      </c>
    </row>
    <row r="91" ht="15.75" customHeight="1">
      <c r="A91" s="150" t="s">
        <v>9</v>
      </c>
      <c r="B91" s="153" t="s">
        <v>176</v>
      </c>
      <c r="C91" s="151" t="s">
        <v>452</v>
      </c>
      <c r="D91" s="117" t="s">
        <v>442</v>
      </c>
      <c r="E91" s="117" t="s">
        <v>199</v>
      </c>
      <c r="F91" s="117" t="s">
        <v>453</v>
      </c>
      <c r="G91" s="117" t="s">
        <v>454</v>
      </c>
      <c r="H91" s="117" t="s">
        <v>455</v>
      </c>
      <c r="I91" s="117" t="s">
        <v>456</v>
      </c>
      <c r="J91" s="117" t="s">
        <v>457</v>
      </c>
      <c r="K91" s="152" t="str">
        <f t="shared" si="4"/>
        <v>–</v>
      </c>
      <c r="L91" s="117" t="s">
        <v>69</v>
      </c>
      <c r="M91" s="156" t="s">
        <v>375</v>
      </c>
    </row>
    <row r="92" ht="15.75" customHeight="1">
      <c r="A92" s="150" t="s">
        <v>9</v>
      </c>
      <c r="B92" s="153" t="s">
        <v>176</v>
      </c>
      <c r="C92" s="151" t="s">
        <v>458</v>
      </c>
      <c r="D92" s="117" t="s">
        <v>442</v>
      </c>
      <c r="E92" s="117" t="s">
        <v>199</v>
      </c>
      <c r="F92" s="117" t="s">
        <v>186</v>
      </c>
      <c r="G92" s="117" t="s">
        <v>331</v>
      </c>
      <c r="H92" s="117" t="s">
        <v>278</v>
      </c>
      <c r="I92" s="117" t="s">
        <v>317</v>
      </c>
      <c r="J92" s="117" t="s">
        <v>377</v>
      </c>
      <c r="K92" s="152" t="str">
        <f t="shared" si="4"/>
        <v>–</v>
      </c>
      <c r="L92" s="117" t="s">
        <v>69</v>
      </c>
      <c r="M92" s="156" t="s">
        <v>375</v>
      </c>
    </row>
    <row r="93" ht="15.75" customHeight="1">
      <c r="A93" s="150" t="s">
        <v>9</v>
      </c>
      <c r="B93" s="153" t="s">
        <v>176</v>
      </c>
      <c r="C93" s="151" t="s">
        <v>459</v>
      </c>
      <c r="D93" s="117" t="s">
        <v>442</v>
      </c>
      <c r="E93" s="117" t="s">
        <v>208</v>
      </c>
      <c r="F93" s="117" t="s">
        <v>391</v>
      </c>
      <c r="G93" s="117" t="s">
        <v>460</v>
      </c>
      <c r="H93" s="117" t="s">
        <v>461</v>
      </c>
      <c r="I93" s="117" t="s">
        <v>394</v>
      </c>
      <c r="J93" s="117" t="s">
        <v>462</v>
      </c>
      <c r="K93" s="152" t="str">
        <f t="shared" si="4"/>
        <v>–</v>
      </c>
      <c r="L93" s="117" t="s">
        <v>69</v>
      </c>
      <c r="M93" s="156" t="s">
        <v>375</v>
      </c>
    </row>
    <row r="94" ht="15.75" customHeight="1">
      <c r="A94" s="150" t="s">
        <v>9</v>
      </c>
      <c r="B94" s="153" t="s">
        <v>176</v>
      </c>
      <c r="C94" s="151" t="s">
        <v>463</v>
      </c>
      <c r="D94" s="117" t="s">
        <v>442</v>
      </c>
      <c r="E94" s="117" t="s">
        <v>208</v>
      </c>
      <c r="F94" s="117" t="s">
        <v>400</v>
      </c>
      <c r="G94" s="117" t="s">
        <v>331</v>
      </c>
      <c r="H94" s="117" t="s">
        <v>397</v>
      </c>
      <c r="I94" s="117" t="s">
        <v>332</v>
      </c>
      <c r="J94" s="117" t="s">
        <v>398</v>
      </c>
      <c r="K94" s="152" t="str">
        <f t="shared" si="4"/>
        <v>–</v>
      </c>
      <c r="L94" s="117" t="s">
        <v>69</v>
      </c>
      <c r="M94" s="156" t="s">
        <v>375</v>
      </c>
    </row>
    <row r="95" ht="15.75" customHeight="1">
      <c r="A95" s="150" t="s">
        <v>9</v>
      </c>
      <c r="B95" s="153" t="s">
        <v>176</v>
      </c>
      <c r="C95" s="151" t="s">
        <v>464</v>
      </c>
      <c r="D95" s="117" t="s">
        <v>442</v>
      </c>
      <c r="E95" s="117" t="s">
        <v>208</v>
      </c>
      <c r="F95" s="117" t="s">
        <v>351</v>
      </c>
      <c r="G95" s="117" t="s">
        <v>454</v>
      </c>
      <c r="H95" s="117" t="s">
        <v>461</v>
      </c>
      <c r="I95" s="117" t="s">
        <v>317</v>
      </c>
      <c r="J95" s="117" t="s">
        <v>377</v>
      </c>
      <c r="K95" s="152" t="str">
        <f t="shared" si="4"/>
        <v>–</v>
      </c>
      <c r="L95" s="117" t="s">
        <v>69</v>
      </c>
      <c r="M95" s="156" t="s">
        <v>375</v>
      </c>
    </row>
    <row r="96" ht="15.75" customHeight="1">
      <c r="A96" s="150" t="s">
        <v>9</v>
      </c>
      <c r="B96" s="153" t="s">
        <v>176</v>
      </c>
      <c r="C96" s="151" t="s">
        <v>465</v>
      </c>
      <c r="D96" s="117" t="s">
        <v>442</v>
      </c>
      <c r="E96" s="117" t="s">
        <v>226</v>
      </c>
      <c r="F96" s="117" t="s">
        <v>466</v>
      </c>
      <c r="G96" s="117" t="s">
        <v>454</v>
      </c>
      <c r="H96" s="117" t="s">
        <v>467</v>
      </c>
      <c r="I96" s="117" t="s">
        <v>404</v>
      </c>
      <c r="J96" s="117" t="s">
        <v>468</v>
      </c>
      <c r="K96" s="152" t="str">
        <f t="shared" si="4"/>
        <v>–</v>
      </c>
      <c r="L96" s="117" t="s">
        <v>69</v>
      </c>
      <c r="M96" s="156" t="s">
        <v>375</v>
      </c>
    </row>
    <row r="97" ht="15.75" customHeight="1">
      <c r="A97" s="150" t="s">
        <v>9</v>
      </c>
      <c r="B97" s="153" t="s">
        <v>176</v>
      </c>
      <c r="C97" s="151" t="s">
        <v>469</v>
      </c>
      <c r="D97" s="117" t="s">
        <v>442</v>
      </c>
      <c r="E97" s="117" t="s">
        <v>226</v>
      </c>
      <c r="F97" s="117" t="s">
        <v>470</v>
      </c>
      <c r="G97" s="117" t="s">
        <v>331</v>
      </c>
      <c r="H97" s="117" t="s">
        <v>233</v>
      </c>
      <c r="I97" s="117" t="s">
        <v>332</v>
      </c>
      <c r="J97" s="117" t="s">
        <v>398</v>
      </c>
      <c r="K97" s="152" t="str">
        <f t="shared" si="4"/>
        <v>–</v>
      </c>
      <c r="L97" s="117" t="s">
        <v>69</v>
      </c>
      <c r="M97" s="156" t="s">
        <v>375</v>
      </c>
    </row>
    <row r="98" ht="15.75" customHeight="1">
      <c r="A98" s="150" t="s">
        <v>9</v>
      </c>
      <c r="B98" s="153" t="s">
        <v>176</v>
      </c>
      <c r="C98" s="151" t="s">
        <v>471</v>
      </c>
      <c r="D98" s="117" t="s">
        <v>442</v>
      </c>
      <c r="E98" s="117" t="s">
        <v>226</v>
      </c>
      <c r="F98" s="117" t="s">
        <v>472</v>
      </c>
      <c r="G98" s="117" t="s">
        <v>454</v>
      </c>
      <c r="H98" s="117" t="s">
        <v>467</v>
      </c>
      <c r="I98" s="117" t="s">
        <v>332</v>
      </c>
      <c r="J98" s="117" t="s">
        <v>398</v>
      </c>
      <c r="K98" s="152" t="str">
        <f t="shared" si="4"/>
        <v>–</v>
      </c>
      <c r="L98" s="117" t="s">
        <v>69</v>
      </c>
      <c r="M98" s="156" t="s">
        <v>375</v>
      </c>
    </row>
    <row r="99" ht="15.75" customHeight="1">
      <c r="A99" s="150" t="s">
        <v>9</v>
      </c>
      <c r="B99" s="153" t="s">
        <v>176</v>
      </c>
      <c r="C99" s="151" t="s">
        <v>473</v>
      </c>
      <c r="D99" s="152" t="s">
        <v>442</v>
      </c>
      <c r="E99" s="152" t="s">
        <v>226</v>
      </c>
      <c r="F99" s="152" t="s">
        <v>362</v>
      </c>
      <c r="G99" s="152" t="s">
        <v>454</v>
      </c>
      <c r="H99" s="152" t="s">
        <v>467</v>
      </c>
      <c r="I99" s="152" t="s">
        <v>317</v>
      </c>
      <c r="J99" s="152" t="s">
        <v>377</v>
      </c>
      <c r="K99" s="152" t="str">
        <f t="shared" si="4"/>
        <v>–</v>
      </c>
      <c r="L99" s="152" t="s">
        <v>69</v>
      </c>
      <c r="M99" s="157" t="s">
        <v>375</v>
      </c>
    </row>
    <row r="100" ht="15.75" customHeight="1">
      <c r="A100" s="150" t="s">
        <v>9</v>
      </c>
      <c r="B100" s="153" t="s">
        <v>176</v>
      </c>
      <c r="C100" s="151" t="s">
        <v>474</v>
      </c>
      <c r="D100" s="117" t="s">
        <v>475</v>
      </c>
      <c r="E100" s="117" t="s">
        <v>179</v>
      </c>
      <c r="F100" s="117" t="s">
        <v>476</v>
      </c>
      <c r="G100" s="117" t="s">
        <v>477</v>
      </c>
      <c r="H100" s="117" t="s">
        <v>182</v>
      </c>
      <c r="I100" s="117" t="s">
        <v>478</v>
      </c>
      <c r="J100" s="117" t="s">
        <v>479</v>
      </c>
      <c r="K100" s="152" t="str">
        <f t="shared" si="4"/>
        <v>–</v>
      </c>
      <c r="L100" s="117" t="s">
        <v>69</v>
      </c>
      <c r="M100" s="156" t="s">
        <v>375</v>
      </c>
    </row>
    <row r="101" ht="15.75" customHeight="1">
      <c r="A101" s="150" t="s">
        <v>9</v>
      </c>
      <c r="B101" s="153" t="s">
        <v>176</v>
      </c>
      <c r="C101" s="151" t="s">
        <v>480</v>
      </c>
      <c r="D101" s="117" t="s">
        <v>475</v>
      </c>
      <c r="E101" s="117" t="s">
        <v>179</v>
      </c>
      <c r="F101" s="117" t="s">
        <v>186</v>
      </c>
      <c r="G101" s="117" t="s">
        <v>477</v>
      </c>
      <c r="H101" s="117" t="s">
        <v>182</v>
      </c>
      <c r="I101" s="117" t="s">
        <v>481</v>
      </c>
      <c r="J101" s="117" t="s">
        <v>377</v>
      </c>
      <c r="K101" s="152" t="str">
        <f t="shared" si="4"/>
        <v>–</v>
      </c>
      <c r="L101" s="117" t="s">
        <v>69</v>
      </c>
      <c r="M101" s="156" t="s">
        <v>375</v>
      </c>
    </row>
    <row r="102" ht="15.75" customHeight="1">
      <c r="A102" s="150" t="s">
        <v>9</v>
      </c>
      <c r="B102" s="153" t="s">
        <v>176</v>
      </c>
      <c r="C102" s="151" t="s">
        <v>482</v>
      </c>
      <c r="D102" s="117" t="s">
        <v>475</v>
      </c>
      <c r="E102" s="117" t="s">
        <v>191</v>
      </c>
      <c r="F102" s="117" t="s">
        <v>483</v>
      </c>
      <c r="G102" s="117" t="s">
        <v>320</v>
      </c>
      <c r="H102" s="117" t="s">
        <v>194</v>
      </c>
      <c r="I102" s="117" t="s">
        <v>484</v>
      </c>
      <c r="J102" s="117" t="s">
        <v>417</v>
      </c>
      <c r="K102" s="152" t="str">
        <f t="shared" si="4"/>
        <v>–</v>
      </c>
      <c r="L102" s="117" t="s">
        <v>69</v>
      </c>
      <c r="M102" s="156" t="s">
        <v>375</v>
      </c>
    </row>
    <row r="103" ht="15.75" customHeight="1">
      <c r="A103" s="150" t="s">
        <v>9</v>
      </c>
      <c r="B103" s="153" t="s">
        <v>176</v>
      </c>
      <c r="C103" s="151" t="s">
        <v>485</v>
      </c>
      <c r="D103" s="117" t="s">
        <v>475</v>
      </c>
      <c r="E103" s="117" t="s">
        <v>191</v>
      </c>
      <c r="F103" s="117" t="s">
        <v>186</v>
      </c>
      <c r="G103" s="117" t="s">
        <v>320</v>
      </c>
      <c r="H103" s="117" t="s">
        <v>194</v>
      </c>
      <c r="I103" s="117" t="s">
        <v>486</v>
      </c>
      <c r="J103" s="117" t="s">
        <v>377</v>
      </c>
      <c r="K103" s="152" t="str">
        <f t="shared" si="4"/>
        <v>–</v>
      </c>
      <c r="L103" s="117" t="s">
        <v>69</v>
      </c>
      <c r="M103" s="156" t="s">
        <v>375</v>
      </c>
    </row>
    <row r="104" ht="15.75" customHeight="1">
      <c r="A104" s="150" t="s">
        <v>9</v>
      </c>
      <c r="B104" s="153" t="s">
        <v>176</v>
      </c>
      <c r="C104" s="151" t="s">
        <v>487</v>
      </c>
      <c r="D104" s="117" t="s">
        <v>475</v>
      </c>
      <c r="E104" s="117" t="s">
        <v>199</v>
      </c>
      <c r="F104" s="117" t="s">
        <v>488</v>
      </c>
      <c r="G104" s="117" t="s">
        <v>489</v>
      </c>
      <c r="H104" s="117" t="s">
        <v>455</v>
      </c>
      <c r="I104" s="117" t="s">
        <v>490</v>
      </c>
      <c r="J104" s="117" t="s">
        <v>491</v>
      </c>
      <c r="K104" s="152" t="str">
        <f t="shared" si="4"/>
        <v>–</v>
      </c>
      <c r="L104" s="117" t="s">
        <v>69</v>
      </c>
      <c r="M104" s="156" t="s">
        <v>375</v>
      </c>
    </row>
    <row r="105" ht="15.75" customHeight="1">
      <c r="A105" s="150" t="s">
        <v>9</v>
      </c>
      <c r="B105" s="153" t="s">
        <v>176</v>
      </c>
      <c r="C105" s="151" t="s">
        <v>492</v>
      </c>
      <c r="D105" s="117" t="s">
        <v>475</v>
      </c>
      <c r="E105" s="117" t="s">
        <v>199</v>
      </c>
      <c r="F105" s="117" t="s">
        <v>256</v>
      </c>
      <c r="G105" s="117" t="s">
        <v>493</v>
      </c>
      <c r="H105" s="117" t="s">
        <v>278</v>
      </c>
      <c r="I105" s="117" t="s">
        <v>494</v>
      </c>
      <c r="J105" s="117" t="s">
        <v>398</v>
      </c>
      <c r="K105" s="152" t="str">
        <f t="shared" si="4"/>
        <v>–</v>
      </c>
      <c r="L105" s="117" t="s">
        <v>69</v>
      </c>
      <c r="M105" s="156" t="s">
        <v>375</v>
      </c>
    </row>
    <row r="106" ht="15.75" customHeight="1">
      <c r="A106" s="150" t="s">
        <v>9</v>
      </c>
      <c r="B106" s="153" t="s">
        <v>176</v>
      </c>
      <c r="C106" s="151" t="s">
        <v>495</v>
      </c>
      <c r="D106" s="117" t="s">
        <v>475</v>
      </c>
      <c r="E106" s="117" t="s">
        <v>199</v>
      </c>
      <c r="F106" s="117" t="s">
        <v>186</v>
      </c>
      <c r="G106" s="117" t="s">
        <v>493</v>
      </c>
      <c r="H106" s="117" t="s">
        <v>278</v>
      </c>
      <c r="I106" s="117" t="s">
        <v>496</v>
      </c>
      <c r="J106" s="117" t="s">
        <v>377</v>
      </c>
      <c r="K106" s="152" t="str">
        <f t="shared" si="4"/>
        <v>–</v>
      </c>
      <c r="L106" s="117" t="s">
        <v>69</v>
      </c>
      <c r="M106" s="156" t="s">
        <v>375</v>
      </c>
    </row>
    <row r="107" ht="15.75" customHeight="1">
      <c r="A107" s="150" t="s">
        <v>9</v>
      </c>
      <c r="B107" s="153" t="s">
        <v>176</v>
      </c>
      <c r="C107" s="151" t="s">
        <v>497</v>
      </c>
      <c r="D107" s="117" t="s">
        <v>475</v>
      </c>
      <c r="E107" s="117" t="s">
        <v>208</v>
      </c>
      <c r="F107" s="117" t="s">
        <v>498</v>
      </c>
      <c r="G107" s="117" t="s">
        <v>499</v>
      </c>
      <c r="H107" s="117" t="s">
        <v>461</v>
      </c>
      <c r="I107" s="117" t="s">
        <v>500</v>
      </c>
      <c r="J107" s="117" t="s">
        <v>501</v>
      </c>
      <c r="K107" s="152" t="str">
        <f t="shared" si="4"/>
        <v>–</v>
      </c>
      <c r="L107" s="117" t="s">
        <v>69</v>
      </c>
      <c r="M107" s="156" t="s">
        <v>375</v>
      </c>
    </row>
    <row r="108" ht="15.75" customHeight="1">
      <c r="A108" s="150" t="s">
        <v>9</v>
      </c>
      <c r="B108" s="153" t="s">
        <v>176</v>
      </c>
      <c r="C108" s="151" t="s">
        <v>502</v>
      </c>
      <c r="D108" s="117" t="s">
        <v>475</v>
      </c>
      <c r="E108" s="117" t="s">
        <v>208</v>
      </c>
      <c r="F108" s="117" t="s">
        <v>256</v>
      </c>
      <c r="G108" s="117" t="s">
        <v>503</v>
      </c>
      <c r="H108" s="117" t="s">
        <v>397</v>
      </c>
      <c r="I108" s="117" t="s">
        <v>494</v>
      </c>
      <c r="J108" s="117" t="s">
        <v>398</v>
      </c>
      <c r="K108" s="152" t="str">
        <f t="shared" si="4"/>
        <v>–</v>
      </c>
      <c r="L108" s="117" t="s">
        <v>69</v>
      </c>
      <c r="M108" s="156" t="s">
        <v>375</v>
      </c>
    </row>
    <row r="109" ht="15.75" customHeight="1">
      <c r="A109" s="150" t="s">
        <v>9</v>
      </c>
      <c r="B109" s="153" t="s">
        <v>176</v>
      </c>
      <c r="C109" s="151" t="s">
        <v>504</v>
      </c>
      <c r="D109" s="117" t="s">
        <v>475</v>
      </c>
      <c r="E109" s="117" t="s">
        <v>208</v>
      </c>
      <c r="F109" s="117" t="s">
        <v>439</v>
      </c>
      <c r="G109" s="117" t="s">
        <v>503</v>
      </c>
      <c r="H109" s="117" t="s">
        <v>397</v>
      </c>
      <c r="I109" s="117" t="s">
        <v>505</v>
      </c>
      <c r="J109" s="117" t="s">
        <v>398</v>
      </c>
      <c r="K109" s="152" t="str">
        <f t="shared" si="4"/>
        <v>–</v>
      </c>
      <c r="L109" s="117" t="s">
        <v>69</v>
      </c>
      <c r="M109" s="156" t="s">
        <v>375</v>
      </c>
    </row>
    <row r="110" ht="15.75" customHeight="1">
      <c r="A110" s="150" t="s">
        <v>9</v>
      </c>
      <c r="B110" s="153" t="s">
        <v>176</v>
      </c>
      <c r="C110" s="151" t="s">
        <v>506</v>
      </c>
      <c r="D110" s="117" t="s">
        <v>475</v>
      </c>
      <c r="E110" s="117" t="s">
        <v>208</v>
      </c>
      <c r="F110" s="117" t="s">
        <v>351</v>
      </c>
      <c r="G110" s="117" t="s">
        <v>507</v>
      </c>
      <c r="H110" s="117" t="s">
        <v>461</v>
      </c>
      <c r="I110" s="117" t="s">
        <v>508</v>
      </c>
      <c r="J110" s="117" t="s">
        <v>377</v>
      </c>
      <c r="K110" s="152" t="str">
        <f t="shared" si="4"/>
        <v>–</v>
      </c>
      <c r="L110" s="117" t="s">
        <v>69</v>
      </c>
      <c r="M110" s="156" t="s">
        <v>375</v>
      </c>
    </row>
    <row r="111" ht="15.75" customHeight="1">
      <c r="A111" s="150" t="s">
        <v>9</v>
      </c>
      <c r="B111" s="153" t="s">
        <v>176</v>
      </c>
      <c r="C111" s="151" t="s">
        <v>509</v>
      </c>
      <c r="D111" s="117" t="s">
        <v>475</v>
      </c>
      <c r="E111" s="117" t="s">
        <v>226</v>
      </c>
      <c r="F111" s="117" t="s">
        <v>510</v>
      </c>
      <c r="G111" s="117" t="s">
        <v>489</v>
      </c>
      <c r="H111" s="117" t="s">
        <v>467</v>
      </c>
      <c r="I111" s="117" t="s">
        <v>511</v>
      </c>
      <c r="J111" s="117" t="s">
        <v>512</v>
      </c>
      <c r="K111" s="152" t="str">
        <f t="shared" si="4"/>
        <v>–</v>
      </c>
      <c r="L111" s="117" t="s">
        <v>69</v>
      </c>
      <c r="M111" s="156" t="s">
        <v>375</v>
      </c>
    </row>
    <row r="112" ht="15.75" customHeight="1">
      <c r="A112" s="150" t="s">
        <v>9</v>
      </c>
      <c r="B112" s="153" t="s">
        <v>176</v>
      </c>
      <c r="C112" s="151" t="s">
        <v>513</v>
      </c>
      <c r="D112" s="117" t="s">
        <v>475</v>
      </c>
      <c r="E112" s="117" t="s">
        <v>226</v>
      </c>
      <c r="F112" s="117" t="s">
        <v>256</v>
      </c>
      <c r="G112" s="117" t="s">
        <v>493</v>
      </c>
      <c r="H112" s="117" t="s">
        <v>233</v>
      </c>
      <c r="I112" s="117" t="s">
        <v>494</v>
      </c>
      <c r="J112" s="117" t="s">
        <v>398</v>
      </c>
      <c r="K112" s="152" t="str">
        <f t="shared" si="4"/>
        <v>–</v>
      </c>
      <c r="L112" s="117" t="s">
        <v>69</v>
      </c>
      <c r="M112" s="156" t="s">
        <v>375</v>
      </c>
    </row>
    <row r="113" ht="15.75" customHeight="1">
      <c r="A113" s="150" t="s">
        <v>9</v>
      </c>
      <c r="B113" s="153" t="s">
        <v>176</v>
      </c>
      <c r="C113" s="151" t="s">
        <v>514</v>
      </c>
      <c r="D113" s="117" t="s">
        <v>475</v>
      </c>
      <c r="E113" s="117" t="s">
        <v>226</v>
      </c>
      <c r="F113" s="117" t="s">
        <v>439</v>
      </c>
      <c r="G113" s="117" t="s">
        <v>489</v>
      </c>
      <c r="H113" s="117" t="s">
        <v>467</v>
      </c>
      <c r="I113" s="117" t="s">
        <v>505</v>
      </c>
      <c r="J113" s="117" t="s">
        <v>398</v>
      </c>
      <c r="K113" s="152" t="str">
        <f t="shared" si="4"/>
        <v>–</v>
      </c>
      <c r="L113" s="117" t="s">
        <v>69</v>
      </c>
      <c r="M113" s="156" t="s">
        <v>375</v>
      </c>
    </row>
    <row r="114" ht="15.75" customHeight="1">
      <c r="A114" s="150" t="s">
        <v>9</v>
      </c>
      <c r="B114" s="153" t="s">
        <v>176</v>
      </c>
      <c r="C114" s="151" t="s">
        <v>515</v>
      </c>
      <c r="D114" s="117" t="s">
        <v>475</v>
      </c>
      <c r="E114" s="117" t="s">
        <v>226</v>
      </c>
      <c r="F114" s="117" t="s">
        <v>362</v>
      </c>
      <c r="G114" s="117" t="s">
        <v>489</v>
      </c>
      <c r="H114" s="117" t="s">
        <v>467</v>
      </c>
      <c r="I114" s="117" t="s">
        <v>516</v>
      </c>
      <c r="J114" s="117" t="s">
        <v>377</v>
      </c>
      <c r="K114" s="152" t="str">
        <f t="shared" si="4"/>
        <v>–</v>
      </c>
      <c r="L114" s="117" t="s">
        <v>69</v>
      </c>
      <c r="M114" s="156" t="s">
        <v>375</v>
      </c>
    </row>
    <row r="115" ht="15.75" customHeight="1">
      <c r="A115" s="150" t="s">
        <v>9</v>
      </c>
      <c r="B115" s="153" t="s">
        <v>176</v>
      </c>
      <c r="C115" s="151" t="s">
        <v>517</v>
      </c>
      <c r="D115" s="117" t="s">
        <v>475</v>
      </c>
      <c r="E115" s="117" t="s">
        <v>518</v>
      </c>
      <c r="F115" s="117" t="s">
        <v>519</v>
      </c>
      <c r="G115" s="117" t="s">
        <v>520</v>
      </c>
      <c r="H115" s="117" t="s">
        <v>521</v>
      </c>
      <c r="I115" s="117" t="s">
        <v>522</v>
      </c>
      <c r="J115" s="117" t="s">
        <v>523</v>
      </c>
      <c r="K115" s="152" t="str">
        <f t="shared" si="4"/>
        <v>–</v>
      </c>
      <c r="L115" s="117" t="s">
        <v>69</v>
      </c>
      <c r="M115" s="156" t="s">
        <v>375</v>
      </c>
    </row>
    <row r="116" ht="15.75" customHeight="1">
      <c r="A116" s="150" t="s">
        <v>9</v>
      </c>
      <c r="B116" s="153" t="s">
        <v>176</v>
      </c>
      <c r="C116" s="151" t="s">
        <v>524</v>
      </c>
      <c r="D116" s="152" t="s">
        <v>475</v>
      </c>
      <c r="E116" s="152" t="s">
        <v>525</v>
      </c>
      <c r="F116" s="152" t="s">
        <v>526</v>
      </c>
      <c r="G116" s="152" t="s">
        <v>527</v>
      </c>
      <c r="H116" s="152" t="s">
        <v>528</v>
      </c>
      <c r="I116" s="152" t="s">
        <v>529</v>
      </c>
      <c r="J116" s="152" t="s">
        <v>530</v>
      </c>
      <c r="K116" s="152" t="str">
        <f t="shared" si="4"/>
        <v>–</v>
      </c>
      <c r="L116" s="152" t="s">
        <v>69</v>
      </c>
      <c r="M116" s="157" t="s">
        <v>375</v>
      </c>
    </row>
    <row r="117" ht="15.75" customHeight="1">
      <c r="A117" s="144" t="s">
        <v>9</v>
      </c>
      <c r="B117" s="145" t="s">
        <v>176</v>
      </c>
      <c r="C117" s="158" t="s">
        <v>531</v>
      </c>
      <c r="D117" s="117" t="s">
        <v>532</v>
      </c>
      <c r="E117" s="117" t="s">
        <v>179</v>
      </c>
      <c r="F117" s="117" t="s">
        <v>533</v>
      </c>
      <c r="G117" s="117" t="s">
        <v>534</v>
      </c>
      <c r="H117" s="117" t="s">
        <v>182</v>
      </c>
      <c r="I117" s="117" t="s">
        <v>535</v>
      </c>
      <c r="J117" s="117" t="s">
        <v>536</v>
      </c>
      <c r="K117" s="152" t="str">
        <f t="shared" si="4"/>
        <v>–</v>
      </c>
      <c r="L117" s="117" t="s">
        <v>69</v>
      </c>
      <c r="M117" s="157" t="s">
        <v>537</v>
      </c>
    </row>
    <row r="118" ht="15.75" customHeight="1">
      <c r="A118" s="144" t="s">
        <v>9</v>
      </c>
      <c r="B118" s="145" t="s">
        <v>176</v>
      </c>
      <c r="C118" s="158" t="s">
        <v>538</v>
      </c>
      <c r="D118" s="117" t="s">
        <v>532</v>
      </c>
      <c r="E118" s="117" t="s">
        <v>179</v>
      </c>
      <c r="F118" s="117" t="s">
        <v>539</v>
      </c>
      <c r="G118" s="117" t="s">
        <v>534</v>
      </c>
      <c r="H118" s="117" t="s">
        <v>182</v>
      </c>
      <c r="I118" s="117" t="s">
        <v>540</v>
      </c>
      <c r="J118" s="117" t="s">
        <v>377</v>
      </c>
      <c r="K118" s="152" t="str">
        <f t="shared" si="4"/>
        <v>–</v>
      </c>
      <c r="L118" s="117" t="s">
        <v>69</v>
      </c>
      <c r="M118" s="157" t="s">
        <v>541</v>
      </c>
    </row>
    <row r="119" ht="15.75" customHeight="1">
      <c r="A119" s="144" t="s">
        <v>9</v>
      </c>
      <c r="B119" s="145" t="s">
        <v>176</v>
      </c>
      <c r="C119" s="158" t="s">
        <v>542</v>
      </c>
      <c r="D119" s="117" t="s">
        <v>532</v>
      </c>
      <c r="E119" s="117" t="s">
        <v>179</v>
      </c>
      <c r="F119" s="117" t="s">
        <v>543</v>
      </c>
      <c r="G119" s="117" t="s">
        <v>534</v>
      </c>
      <c r="H119" s="117" t="s">
        <v>182</v>
      </c>
      <c r="I119" s="117" t="s">
        <v>544</v>
      </c>
      <c r="J119" s="117" t="s">
        <v>377</v>
      </c>
      <c r="K119" s="152" t="str">
        <f t="shared" si="4"/>
        <v>–</v>
      </c>
      <c r="L119" s="117" t="s">
        <v>69</v>
      </c>
      <c r="M119" s="157" t="s">
        <v>545</v>
      </c>
    </row>
    <row r="120" ht="15.75" customHeight="1">
      <c r="A120" s="144" t="s">
        <v>9</v>
      </c>
      <c r="B120" s="145" t="s">
        <v>176</v>
      </c>
      <c r="C120" s="158" t="s">
        <v>546</v>
      </c>
      <c r="D120" s="117" t="s">
        <v>532</v>
      </c>
      <c r="E120" s="117" t="s">
        <v>191</v>
      </c>
      <c r="F120" s="117" t="s">
        <v>547</v>
      </c>
      <c r="G120" s="117" t="s">
        <v>320</v>
      </c>
      <c r="H120" s="117" t="s">
        <v>194</v>
      </c>
      <c r="I120" s="117" t="s">
        <v>548</v>
      </c>
      <c r="J120" s="117" t="s">
        <v>417</v>
      </c>
      <c r="K120" s="152" t="str">
        <f t="shared" si="4"/>
        <v>–</v>
      </c>
      <c r="L120" s="117" t="s">
        <v>69</v>
      </c>
      <c r="M120" s="157" t="s">
        <v>549</v>
      </c>
    </row>
    <row r="121" ht="15.75" customHeight="1">
      <c r="A121" s="144" t="s">
        <v>9</v>
      </c>
      <c r="B121" s="145" t="s">
        <v>176</v>
      </c>
      <c r="C121" s="158" t="s">
        <v>550</v>
      </c>
      <c r="D121" s="117" t="s">
        <v>532</v>
      </c>
      <c r="E121" s="117" t="s">
        <v>191</v>
      </c>
      <c r="F121" s="117" t="s">
        <v>543</v>
      </c>
      <c r="G121" s="117" t="s">
        <v>320</v>
      </c>
      <c r="H121" s="117" t="s">
        <v>194</v>
      </c>
      <c r="I121" s="117" t="s">
        <v>551</v>
      </c>
      <c r="J121" s="117" t="s">
        <v>377</v>
      </c>
      <c r="K121" s="152" t="str">
        <f t="shared" si="4"/>
        <v>–</v>
      </c>
      <c r="L121" s="117" t="s">
        <v>69</v>
      </c>
      <c r="M121" s="157" t="s">
        <v>552</v>
      </c>
    </row>
    <row r="122" ht="15.75" customHeight="1">
      <c r="A122" s="144" t="s">
        <v>9</v>
      </c>
      <c r="B122" s="145" t="s">
        <v>176</v>
      </c>
      <c r="C122" s="158" t="s">
        <v>553</v>
      </c>
      <c r="D122" s="117" t="s">
        <v>532</v>
      </c>
      <c r="E122" s="117" t="s">
        <v>199</v>
      </c>
      <c r="F122" s="117" t="s">
        <v>554</v>
      </c>
      <c r="G122" s="117" t="s">
        <v>555</v>
      </c>
      <c r="H122" s="117" t="s">
        <v>556</v>
      </c>
      <c r="I122" s="117" t="s">
        <v>557</v>
      </c>
      <c r="J122" s="117" t="s">
        <v>558</v>
      </c>
      <c r="K122" s="152" t="str">
        <f t="shared" si="4"/>
        <v>–</v>
      </c>
      <c r="L122" s="117" t="s">
        <v>69</v>
      </c>
      <c r="M122" s="157" t="s">
        <v>559</v>
      </c>
    </row>
    <row r="123" ht="15.75" customHeight="1">
      <c r="A123" s="144" t="s">
        <v>9</v>
      </c>
      <c r="B123" s="145" t="s">
        <v>176</v>
      </c>
      <c r="C123" s="158" t="s">
        <v>560</v>
      </c>
      <c r="D123" s="117" t="s">
        <v>532</v>
      </c>
      <c r="E123" s="117" t="s">
        <v>199</v>
      </c>
      <c r="F123" s="117" t="s">
        <v>543</v>
      </c>
      <c r="G123" s="117" t="s">
        <v>493</v>
      </c>
      <c r="H123" s="117" t="s">
        <v>278</v>
      </c>
      <c r="I123" s="117" t="s">
        <v>561</v>
      </c>
      <c r="J123" s="117" t="s">
        <v>377</v>
      </c>
      <c r="K123" s="152" t="str">
        <f t="shared" si="4"/>
        <v>–</v>
      </c>
      <c r="L123" s="117" t="s">
        <v>69</v>
      </c>
      <c r="M123" s="157" t="s">
        <v>562</v>
      </c>
    </row>
    <row r="124" ht="15.75" customHeight="1">
      <c r="A124" s="144" t="s">
        <v>9</v>
      </c>
      <c r="B124" s="145" t="s">
        <v>176</v>
      </c>
      <c r="C124" s="158" t="s">
        <v>563</v>
      </c>
      <c r="D124" s="117" t="s">
        <v>532</v>
      </c>
      <c r="E124" s="117" t="s">
        <v>208</v>
      </c>
      <c r="F124" s="117" t="s">
        <v>564</v>
      </c>
      <c r="G124" s="117" t="s">
        <v>565</v>
      </c>
      <c r="H124" s="117" t="s">
        <v>566</v>
      </c>
      <c r="I124" s="117" t="s">
        <v>567</v>
      </c>
      <c r="J124" s="117" t="s">
        <v>536</v>
      </c>
      <c r="K124" s="152" t="str">
        <f t="shared" si="4"/>
        <v>–</v>
      </c>
      <c r="L124" s="117" t="s">
        <v>69</v>
      </c>
      <c r="M124" s="157" t="s">
        <v>568</v>
      </c>
    </row>
    <row r="125" ht="15.75" customHeight="1">
      <c r="A125" s="144" t="s">
        <v>9</v>
      </c>
      <c r="B125" s="145" t="s">
        <v>176</v>
      </c>
      <c r="C125" s="158" t="s">
        <v>569</v>
      </c>
      <c r="D125" s="117" t="s">
        <v>532</v>
      </c>
      <c r="E125" s="117" t="s">
        <v>208</v>
      </c>
      <c r="F125" s="117" t="s">
        <v>570</v>
      </c>
      <c r="G125" s="117" t="s">
        <v>493</v>
      </c>
      <c r="H125" s="117" t="s">
        <v>397</v>
      </c>
      <c r="I125" s="117" t="s">
        <v>571</v>
      </c>
      <c r="J125" s="117" t="s">
        <v>398</v>
      </c>
      <c r="K125" s="152" t="str">
        <f t="shared" si="4"/>
        <v>–</v>
      </c>
      <c r="L125" s="117" t="s">
        <v>69</v>
      </c>
      <c r="M125" s="157" t="s">
        <v>572</v>
      </c>
    </row>
    <row r="126" ht="15.75" customHeight="1">
      <c r="A126" s="159" t="s">
        <v>10</v>
      </c>
      <c r="B126" s="145" t="s">
        <v>176</v>
      </c>
      <c r="C126" s="158" t="s">
        <v>47</v>
      </c>
      <c r="D126" s="117" t="s">
        <v>532</v>
      </c>
      <c r="E126" s="117" t="s">
        <v>208</v>
      </c>
      <c r="F126" s="117" t="s">
        <v>439</v>
      </c>
      <c r="G126" s="117" t="s">
        <v>555</v>
      </c>
      <c r="H126" s="117" t="s">
        <v>566</v>
      </c>
      <c r="I126" s="117" t="s">
        <v>573</v>
      </c>
      <c r="J126" s="117" t="s">
        <v>574</v>
      </c>
      <c r="K126" s="152" t="s">
        <v>38</v>
      </c>
      <c r="L126" s="117" t="s">
        <v>69</v>
      </c>
      <c r="M126" s="157" t="s">
        <v>575</v>
      </c>
    </row>
    <row r="127" ht="15.75" customHeight="1">
      <c r="A127" s="159" t="s">
        <v>10</v>
      </c>
      <c r="B127" s="145" t="s">
        <v>176</v>
      </c>
      <c r="C127" s="158" t="s">
        <v>44</v>
      </c>
      <c r="D127" s="117" t="s">
        <v>532</v>
      </c>
      <c r="E127" s="117" t="s">
        <v>208</v>
      </c>
      <c r="F127" s="117" t="s">
        <v>543</v>
      </c>
      <c r="G127" s="117" t="s">
        <v>555</v>
      </c>
      <c r="H127" s="117" t="s">
        <v>566</v>
      </c>
      <c r="I127" s="117" t="s">
        <v>576</v>
      </c>
      <c r="J127" s="117" t="s">
        <v>577</v>
      </c>
      <c r="K127" s="152" t="s">
        <v>43</v>
      </c>
      <c r="L127" s="117" t="s">
        <v>69</v>
      </c>
      <c r="M127" s="157" t="s">
        <v>578</v>
      </c>
    </row>
    <row r="128" ht="15.75" customHeight="1">
      <c r="A128" s="144" t="s">
        <v>9</v>
      </c>
      <c r="B128" s="145" t="s">
        <v>176</v>
      </c>
      <c r="C128" s="158" t="s">
        <v>579</v>
      </c>
      <c r="D128" s="117" t="s">
        <v>532</v>
      </c>
      <c r="E128" s="117" t="s">
        <v>226</v>
      </c>
      <c r="F128" s="117" t="s">
        <v>580</v>
      </c>
      <c r="G128" s="117" t="s">
        <v>555</v>
      </c>
      <c r="H128" s="117" t="s">
        <v>581</v>
      </c>
      <c r="I128" s="117" t="s">
        <v>582</v>
      </c>
      <c r="J128" s="117" t="s">
        <v>583</v>
      </c>
      <c r="K128" s="152" t="str">
        <f t="shared" ref="K128:K198" si="5">IF(A128="Pass","–","BUG- ")</f>
        <v>–</v>
      </c>
      <c r="L128" s="117" t="s">
        <v>69</v>
      </c>
      <c r="M128" s="157" t="s">
        <v>584</v>
      </c>
    </row>
    <row r="129" ht="15.75" customHeight="1">
      <c r="A129" s="144" t="s">
        <v>9</v>
      </c>
      <c r="B129" s="145" t="s">
        <v>176</v>
      </c>
      <c r="C129" s="158" t="s">
        <v>585</v>
      </c>
      <c r="D129" s="117" t="s">
        <v>532</v>
      </c>
      <c r="E129" s="117" t="s">
        <v>226</v>
      </c>
      <c r="F129" s="117" t="s">
        <v>570</v>
      </c>
      <c r="G129" s="117" t="s">
        <v>493</v>
      </c>
      <c r="H129" s="117" t="s">
        <v>233</v>
      </c>
      <c r="I129" s="117" t="s">
        <v>571</v>
      </c>
      <c r="J129" s="117" t="s">
        <v>398</v>
      </c>
      <c r="K129" s="152" t="str">
        <f t="shared" si="5"/>
        <v>–</v>
      </c>
      <c r="L129" s="117" t="s">
        <v>69</v>
      </c>
      <c r="M129" s="157" t="s">
        <v>586</v>
      </c>
    </row>
    <row r="130" ht="15.75" customHeight="1">
      <c r="A130" s="144" t="s">
        <v>9</v>
      </c>
      <c r="B130" s="145" t="s">
        <v>176</v>
      </c>
      <c r="C130" s="158" t="s">
        <v>587</v>
      </c>
      <c r="D130" s="117" t="s">
        <v>532</v>
      </c>
      <c r="E130" s="117" t="s">
        <v>226</v>
      </c>
      <c r="F130" s="117" t="s">
        <v>439</v>
      </c>
      <c r="G130" s="117" t="s">
        <v>555</v>
      </c>
      <c r="H130" s="117" t="s">
        <v>581</v>
      </c>
      <c r="I130" s="117" t="s">
        <v>573</v>
      </c>
      <c r="J130" s="117" t="s">
        <v>398</v>
      </c>
      <c r="K130" s="152" t="str">
        <f t="shared" si="5"/>
        <v>–</v>
      </c>
      <c r="L130" s="117" t="s">
        <v>69</v>
      </c>
      <c r="M130" s="157" t="s">
        <v>588</v>
      </c>
    </row>
    <row r="131" ht="15.75" customHeight="1">
      <c r="A131" s="150" t="s">
        <v>9</v>
      </c>
      <c r="B131" s="153" t="s">
        <v>176</v>
      </c>
      <c r="C131" s="160" t="s">
        <v>589</v>
      </c>
      <c r="D131" s="152" t="s">
        <v>532</v>
      </c>
      <c r="E131" s="152" t="s">
        <v>226</v>
      </c>
      <c r="F131" s="152" t="s">
        <v>543</v>
      </c>
      <c r="G131" s="152" t="s">
        <v>555</v>
      </c>
      <c r="H131" s="152" t="s">
        <v>581</v>
      </c>
      <c r="I131" s="152" t="s">
        <v>590</v>
      </c>
      <c r="J131" s="152" t="s">
        <v>377</v>
      </c>
      <c r="K131" s="152" t="str">
        <f t="shared" si="5"/>
        <v>–</v>
      </c>
      <c r="L131" s="152" t="s">
        <v>69</v>
      </c>
      <c r="M131" s="157" t="s">
        <v>591</v>
      </c>
    </row>
    <row r="132" ht="15.75" customHeight="1">
      <c r="A132" s="150" t="s">
        <v>9</v>
      </c>
      <c r="B132" s="153" t="s">
        <v>176</v>
      </c>
      <c r="C132" s="160" t="s">
        <v>592</v>
      </c>
      <c r="D132" s="117" t="s">
        <v>593</v>
      </c>
      <c r="E132" s="117" t="s">
        <v>179</v>
      </c>
      <c r="F132" s="117" t="s">
        <v>594</v>
      </c>
      <c r="G132" s="117" t="s">
        <v>595</v>
      </c>
      <c r="H132" s="117" t="s">
        <v>182</v>
      </c>
      <c r="I132" s="117" t="s">
        <v>596</v>
      </c>
      <c r="J132" s="117" t="s">
        <v>597</v>
      </c>
      <c r="K132" s="152" t="str">
        <f t="shared" si="5"/>
        <v>–</v>
      </c>
      <c r="L132" s="117" t="s">
        <v>69</v>
      </c>
      <c r="M132" s="157" t="s">
        <v>598</v>
      </c>
    </row>
    <row r="133" ht="15.75" customHeight="1">
      <c r="A133" s="150" t="s">
        <v>9</v>
      </c>
      <c r="B133" s="153" t="s">
        <v>176</v>
      </c>
      <c r="C133" s="160" t="s">
        <v>599</v>
      </c>
      <c r="D133" s="117" t="s">
        <v>593</v>
      </c>
      <c r="E133" s="117" t="s">
        <v>179</v>
      </c>
      <c r="F133" s="117" t="s">
        <v>600</v>
      </c>
      <c r="G133" s="117" t="s">
        <v>595</v>
      </c>
      <c r="H133" s="117" t="s">
        <v>182</v>
      </c>
      <c r="I133" s="117" t="s">
        <v>601</v>
      </c>
      <c r="J133" s="117" t="s">
        <v>602</v>
      </c>
      <c r="K133" s="152" t="str">
        <f t="shared" si="5"/>
        <v>–</v>
      </c>
      <c r="L133" s="117" t="s">
        <v>69</v>
      </c>
      <c r="M133" s="157" t="s">
        <v>603</v>
      </c>
    </row>
    <row r="134" ht="15.75" customHeight="1">
      <c r="A134" s="150" t="s">
        <v>9</v>
      </c>
      <c r="B134" s="153" t="s">
        <v>176</v>
      </c>
      <c r="C134" s="160" t="s">
        <v>604</v>
      </c>
      <c r="D134" s="117" t="s">
        <v>593</v>
      </c>
      <c r="E134" s="117" t="s">
        <v>179</v>
      </c>
      <c r="F134" s="117" t="s">
        <v>605</v>
      </c>
      <c r="G134" s="117" t="s">
        <v>595</v>
      </c>
      <c r="H134" s="117" t="s">
        <v>182</v>
      </c>
      <c r="I134" s="117" t="s">
        <v>601</v>
      </c>
      <c r="J134" s="117" t="s">
        <v>602</v>
      </c>
      <c r="K134" s="152" t="str">
        <f t="shared" si="5"/>
        <v>–</v>
      </c>
      <c r="L134" s="117" t="s">
        <v>69</v>
      </c>
      <c r="M134" s="157" t="s">
        <v>606</v>
      </c>
    </row>
    <row r="135" ht="15.75" customHeight="1">
      <c r="A135" s="150" t="s">
        <v>9</v>
      </c>
      <c r="B135" s="153" t="s">
        <v>176</v>
      </c>
      <c r="C135" s="160" t="s">
        <v>607</v>
      </c>
      <c r="D135" s="117" t="s">
        <v>593</v>
      </c>
      <c r="E135" s="117" t="s">
        <v>179</v>
      </c>
      <c r="F135" s="117" t="s">
        <v>262</v>
      </c>
      <c r="G135" s="117" t="s">
        <v>595</v>
      </c>
      <c r="H135" s="117" t="s">
        <v>182</v>
      </c>
      <c r="I135" s="117" t="s">
        <v>317</v>
      </c>
      <c r="J135" s="117" t="s">
        <v>377</v>
      </c>
      <c r="K135" s="152" t="str">
        <f t="shared" si="5"/>
        <v>–</v>
      </c>
      <c r="L135" s="117" t="s">
        <v>69</v>
      </c>
      <c r="M135" s="157" t="s">
        <v>608</v>
      </c>
    </row>
    <row r="136" ht="15.75" customHeight="1">
      <c r="A136" s="150" t="s">
        <v>9</v>
      </c>
      <c r="B136" s="153" t="s">
        <v>176</v>
      </c>
      <c r="C136" s="160" t="s">
        <v>609</v>
      </c>
      <c r="D136" s="117" t="s">
        <v>593</v>
      </c>
      <c r="E136" s="117" t="s">
        <v>191</v>
      </c>
      <c r="F136" s="117" t="s">
        <v>610</v>
      </c>
      <c r="G136" s="117" t="s">
        <v>320</v>
      </c>
      <c r="H136" s="117" t="s">
        <v>194</v>
      </c>
      <c r="I136" s="117" t="s">
        <v>611</v>
      </c>
      <c r="J136" s="117" t="s">
        <v>417</v>
      </c>
      <c r="K136" s="152" t="str">
        <f t="shared" si="5"/>
        <v>–</v>
      </c>
      <c r="L136" s="117" t="s">
        <v>69</v>
      </c>
      <c r="M136" s="157" t="s">
        <v>612</v>
      </c>
    </row>
    <row r="137" ht="15.75" customHeight="1">
      <c r="A137" s="150" t="s">
        <v>9</v>
      </c>
      <c r="B137" s="153" t="s">
        <v>176</v>
      </c>
      <c r="C137" s="160" t="s">
        <v>613</v>
      </c>
      <c r="D137" s="117" t="s">
        <v>593</v>
      </c>
      <c r="E137" s="117" t="s">
        <v>191</v>
      </c>
      <c r="F137" s="117" t="s">
        <v>186</v>
      </c>
      <c r="G137" s="117" t="s">
        <v>320</v>
      </c>
      <c r="H137" s="117" t="s">
        <v>194</v>
      </c>
      <c r="I137" s="117" t="s">
        <v>317</v>
      </c>
      <c r="J137" s="117" t="s">
        <v>377</v>
      </c>
      <c r="K137" s="152" t="str">
        <f t="shared" si="5"/>
        <v>–</v>
      </c>
      <c r="L137" s="117" t="s">
        <v>69</v>
      </c>
      <c r="M137" s="157" t="s">
        <v>614</v>
      </c>
    </row>
    <row r="138" ht="15.75" customHeight="1">
      <c r="A138" s="150" t="s">
        <v>9</v>
      </c>
      <c r="B138" s="153" t="s">
        <v>176</v>
      </c>
      <c r="C138" s="160" t="s">
        <v>615</v>
      </c>
      <c r="D138" s="117" t="s">
        <v>593</v>
      </c>
      <c r="E138" s="117" t="s">
        <v>199</v>
      </c>
      <c r="F138" s="117" t="s">
        <v>616</v>
      </c>
      <c r="G138" s="117" t="s">
        <v>617</v>
      </c>
      <c r="H138" s="117" t="s">
        <v>618</v>
      </c>
      <c r="I138" s="117" t="s">
        <v>619</v>
      </c>
      <c r="J138" s="117" t="s">
        <v>620</v>
      </c>
      <c r="K138" s="152" t="str">
        <f t="shared" si="5"/>
        <v>–</v>
      </c>
      <c r="L138" s="117" t="s">
        <v>69</v>
      </c>
      <c r="M138" s="157" t="s">
        <v>621</v>
      </c>
    </row>
    <row r="139" ht="15.75" customHeight="1">
      <c r="A139" s="150" t="s">
        <v>9</v>
      </c>
      <c r="B139" s="153" t="s">
        <v>176</v>
      </c>
      <c r="C139" s="160" t="s">
        <v>622</v>
      </c>
      <c r="D139" s="117" t="s">
        <v>593</v>
      </c>
      <c r="E139" s="117" t="s">
        <v>199</v>
      </c>
      <c r="F139" s="117" t="s">
        <v>439</v>
      </c>
      <c r="G139" s="117" t="s">
        <v>493</v>
      </c>
      <c r="H139" s="117" t="s">
        <v>278</v>
      </c>
      <c r="I139" s="117" t="s">
        <v>505</v>
      </c>
      <c r="J139" s="117" t="s">
        <v>398</v>
      </c>
      <c r="K139" s="152" t="str">
        <f t="shared" si="5"/>
        <v>–</v>
      </c>
      <c r="L139" s="117" t="s">
        <v>69</v>
      </c>
      <c r="M139" s="157" t="s">
        <v>623</v>
      </c>
    </row>
    <row r="140" ht="15.75" customHeight="1">
      <c r="A140" s="150" t="s">
        <v>9</v>
      </c>
      <c r="B140" s="153" t="s">
        <v>176</v>
      </c>
      <c r="C140" s="160" t="s">
        <v>624</v>
      </c>
      <c r="D140" s="117" t="s">
        <v>593</v>
      </c>
      <c r="E140" s="117" t="s">
        <v>199</v>
      </c>
      <c r="F140" s="117" t="s">
        <v>262</v>
      </c>
      <c r="G140" s="117" t="s">
        <v>493</v>
      </c>
      <c r="H140" s="117" t="s">
        <v>278</v>
      </c>
      <c r="I140" s="117" t="s">
        <v>317</v>
      </c>
      <c r="J140" s="117" t="s">
        <v>377</v>
      </c>
      <c r="K140" s="152" t="str">
        <f t="shared" si="5"/>
        <v>–</v>
      </c>
      <c r="L140" s="117" t="s">
        <v>69</v>
      </c>
      <c r="M140" s="157" t="s">
        <v>625</v>
      </c>
    </row>
    <row r="141" ht="15.75" customHeight="1">
      <c r="A141" s="150" t="s">
        <v>9</v>
      </c>
      <c r="B141" s="153" t="s">
        <v>176</v>
      </c>
      <c r="C141" s="160" t="s">
        <v>626</v>
      </c>
      <c r="D141" s="117" t="s">
        <v>593</v>
      </c>
      <c r="E141" s="117" t="s">
        <v>208</v>
      </c>
      <c r="F141" s="117" t="s">
        <v>627</v>
      </c>
      <c r="G141" s="117" t="s">
        <v>628</v>
      </c>
      <c r="H141" s="117" t="s">
        <v>629</v>
      </c>
      <c r="I141" s="117" t="s">
        <v>630</v>
      </c>
      <c r="J141" s="117" t="s">
        <v>631</v>
      </c>
      <c r="K141" s="152" t="str">
        <f t="shared" si="5"/>
        <v>–</v>
      </c>
      <c r="L141" s="117" t="s">
        <v>69</v>
      </c>
      <c r="M141" s="157" t="s">
        <v>632</v>
      </c>
    </row>
    <row r="142" ht="15.75" customHeight="1">
      <c r="A142" s="150" t="s">
        <v>9</v>
      </c>
      <c r="B142" s="153" t="s">
        <v>176</v>
      </c>
      <c r="C142" s="160" t="s">
        <v>633</v>
      </c>
      <c r="D142" s="117" t="s">
        <v>593</v>
      </c>
      <c r="E142" s="117" t="s">
        <v>208</v>
      </c>
      <c r="F142" s="117" t="s">
        <v>634</v>
      </c>
      <c r="G142" s="117" t="s">
        <v>635</v>
      </c>
      <c r="H142" s="117" t="s">
        <v>629</v>
      </c>
      <c r="I142" s="117" t="s">
        <v>636</v>
      </c>
      <c r="J142" s="117" t="s">
        <v>637</v>
      </c>
      <c r="K142" s="152" t="str">
        <f t="shared" si="5"/>
        <v>–</v>
      </c>
      <c r="L142" s="117" t="s">
        <v>69</v>
      </c>
      <c r="M142" s="157" t="s">
        <v>638</v>
      </c>
    </row>
    <row r="143" ht="15.75" customHeight="1">
      <c r="A143" s="150" t="s">
        <v>9</v>
      </c>
      <c r="B143" s="153" t="s">
        <v>176</v>
      </c>
      <c r="C143" s="160" t="s">
        <v>639</v>
      </c>
      <c r="D143" s="117" t="s">
        <v>593</v>
      </c>
      <c r="E143" s="117" t="s">
        <v>208</v>
      </c>
      <c r="F143" s="117" t="s">
        <v>439</v>
      </c>
      <c r="G143" s="117" t="s">
        <v>640</v>
      </c>
      <c r="H143" s="117" t="s">
        <v>629</v>
      </c>
      <c r="I143" s="117" t="s">
        <v>505</v>
      </c>
      <c r="J143" s="117" t="s">
        <v>398</v>
      </c>
      <c r="K143" s="152" t="str">
        <f t="shared" si="5"/>
        <v>–</v>
      </c>
      <c r="L143" s="117" t="s">
        <v>69</v>
      </c>
      <c r="M143" s="157" t="s">
        <v>641</v>
      </c>
    </row>
    <row r="144" ht="15.75" customHeight="1">
      <c r="A144" s="150" t="s">
        <v>9</v>
      </c>
      <c r="B144" s="153" t="s">
        <v>176</v>
      </c>
      <c r="C144" s="160" t="s">
        <v>642</v>
      </c>
      <c r="D144" s="117" t="s">
        <v>593</v>
      </c>
      <c r="E144" s="117" t="s">
        <v>208</v>
      </c>
      <c r="F144" s="117" t="s">
        <v>262</v>
      </c>
      <c r="G144" s="117" t="s">
        <v>640</v>
      </c>
      <c r="H144" s="117" t="s">
        <v>629</v>
      </c>
      <c r="I144" s="117" t="s">
        <v>576</v>
      </c>
      <c r="J144" s="117" t="s">
        <v>377</v>
      </c>
      <c r="K144" s="152" t="str">
        <f t="shared" si="5"/>
        <v>–</v>
      </c>
      <c r="L144" s="117" t="s">
        <v>69</v>
      </c>
      <c r="M144" s="157" t="s">
        <v>643</v>
      </c>
    </row>
    <row r="145" ht="15.75" customHeight="1">
      <c r="A145" s="150" t="s">
        <v>9</v>
      </c>
      <c r="B145" s="153" t="s">
        <v>176</v>
      </c>
      <c r="C145" s="160" t="s">
        <v>644</v>
      </c>
      <c r="D145" s="117" t="s">
        <v>593</v>
      </c>
      <c r="E145" s="117" t="s">
        <v>226</v>
      </c>
      <c r="F145" s="117" t="s">
        <v>403</v>
      </c>
      <c r="G145" s="117" t="s">
        <v>617</v>
      </c>
      <c r="H145" s="117" t="s">
        <v>645</v>
      </c>
      <c r="I145" s="117" t="s">
        <v>511</v>
      </c>
      <c r="J145" s="117" t="s">
        <v>646</v>
      </c>
      <c r="K145" s="152" t="str">
        <f t="shared" si="5"/>
        <v>–</v>
      </c>
      <c r="L145" s="117" t="s">
        <v>69</v>
      </c>
      <c r="M145" s="157" t="s">
        <v>647</v>
      </c>
    </row>
    <row r="146" ht="15.75" customHeight="1">
      <c r="A146" s="150" t="s">
        <v>9</v>
      </c>
      <c r="B146" s="153" t="s">
        <v>176</v>
      </c>
      <c r="C146" s="160" t="s">
        <v>648</v>
      </c>
      <c r="D146" s="117" t="s">
        <v>593</v>
      </c>
      <c r="E146" s="117" t="s">
        <v>226</v>
      </c>
      <c r="F146" s="117" t="s">
        <v>439</v>
      </c>
      <c r="G146" s="117" t="s">
        <v>493</v>
      </c>
      <c r="H146" s="117" t="s">
        <v>233</v>
      </c>
      <c r="I146" s="117" t="s">
        <v>505</v>
      </c>
      <c r="J146" s="117" t="s">
        <v>398</v>
      </c>
      <c r="K146" s="152" t="str">
        <f t="shared" si="5"/>
        <v>–</v>
      </c>
      <c r="L146" s="117" t="s">
        <v>69</v>
      </c>
      <c r="M146" s="157" t="s">
        <v>649</v>
      </c>
    </row>
    <row r="147" ht="15.75" customHeight="1">
      <c r="A147" s="150" t="s">
        <v>9</v>
      </c>
      <c r="B147" s="153" t="s">
        <v>176</v>
      </c>
      <c r="C147" s="160" t="s">
        <v>650</v>
      </c>
      <c r="D147" s="152" t="s">
        <v>593</v>
      </c>
      <c r="E147" s="152" t="s">
        <v>226</v>
      </c>
      <c r="F147" s="152" t="s">
        <v>262</v>
      </c>
      <c r="G147" s="152" t="s">
        <v>617</v>
      </c>
      <c r="H147" s="152" t="s">
        <v>645</v>
      </c>
      <c r="I147" s="152" t="s">
        <v>590</v>
      </c>
      <c r="J147" s="152" t="s">
        <v>377</v>
      </c>
      <c r="K147" s="152" t="str">
        <f t="shared" si="5"/>
        <v>–</v>
      </c>
      <c r="L147" s="152" t="s">
        <v>69</v>
      </c>
      <c r="M147" s="157" t="s">
        <v>651</v>
      </c>
    </row>
    <row r="148" ht="15.75" customHeight="1">
      <c r="A148" s="150" t="s">
        <v>9</v>
      </c>
      <c r="B148" s="153" t="s">
        <v>176</v>
      </c>
      <c r="C148" s="160" t="s">
        <v>652</v>
      </c>
      <c r="D148" s="117" t="s">
        <v>653</v>
      </c>
      <c r="E148" s="117" t="s">
        <v>179</v>
      </c>
      <c r="F148" s="117" t="s">
        <v>654</v>
      </c>
      <c r="G148" s="117" t="s">
        <v>655</v>
      </c>
      <c r="H148" s="117" t="s">
        <v>182</v>
      </c>
      <c r="I148" s="117" t="s">
        <v>656</v>
      </c>
      <c r="J148" s="117" t="s">
        <v>657</v>
      </c>
      <c r="K148" s="152" t="str">
        <f t="shared" si="5"/>
        <v>–</v>
      </c>
      <c r="L148" s="117" t="s">
        <v>69</v>
      </c>
      <c r="M148" s="157" t="s">
        <v>658</v>
      </c>
    </row>
    <row r="149" ht="15.75" customHeight="1">
      <c r="A149" s="150" t="s">
        <v>9</v>
      </c>
      <c r="B149" s="153" t="s">
        <v>176</v>
      </c>
      <c r="C149" s="160" t="s">
        <v>659</v>
      </c>
      <c r="D149" s="117" t="s">
        <v>653</v>
      </c>
      <c r="E149" s="117" t="s">
        <v>179</v>
      </c>
      <c r="F149" s="117" t="s">
        <v>262</v>
      </c>
      <c r="G149" s="117" t="s">
        <v>655</v>
      </c>
      <c r="H149" s="117" t="s">
        <v>182</v>
      </c>
      <c r="I149" s="117" t="s">
        <v>660</v>
      </c>
      <c r="J149" s="117" t="s">
        <v>377</v>
      </c>
      <c r="K149" s="152" t="str">
        <f t="shared" si="5"/>
        <v>–</v>
      </c>
      <c r="L149" s="117" t="s">
        <v>69</v>
      </c>
      <c r="M149" s="157" t="s">
        <v>661</v>
      </c>
    </row>
    <row r="150" ht="15.75" customHeight="1">
      <c r="A150" s="150" t="s">
        <v>9</v>
      </c>
      <c r="B150" s="153" t="s">
        <v>176</v>
      </c>
      <c r="C150" s="160" t="s">
        <v>662</v>
      </c>
      <c r="D150" s="117" t="s">
        <v>653</v>
      </c>
      <c r="E150" s="117" t="s">
        <v>191</v>
      </c>
      <c r="F150" s="117" t="s">
        <v>663</v>
      </c>
      <c r="G150" s="117" t="s">
        <v>320</v>
      </c>
      <c r="H150" s="117" t="s">
        <v>194</v>
      </c>
      <c r="I150" s="117" t="s">
        <v>664</v>
      </c>
      <c r="J150" s="117" t="s">
        <v>417</v>
      </c>
      <c r="K150" s="152" t="str">
        <f t="shared" si="5"/>
        <v>–</v>
      </c>
      <c r="L150" s="117" t="s">
        <v>69</v>
      </c>
      <c r="M150" s="157" t="s">
        <v>665</v>
      </c>
    </row>
    <row r="151" ht="15.75" customHeight="1">
      <c r="A151" s="150" t="s">
        <v>9</v>
      </c>
      <c r="B151" s="153" t="s">
        <v>176</v>
      </c>
      <c r="C151" s="160" t="s">
        <v>666</v>
      </c>
      <c r="D151" s="117" t="s">
        <v>653</v>
      </c>
      <c r="E151" s="117" t="s">
        <v>191</v>
      </c>
      <c r="F151" s="117" t="s">
        <v>186</v>
      </c>
      <c r="G151" s="117" t="s">
        <v>320</v>
      </c>
      <c r="H151" s="117" t="s">
        <v>194</v>
      </c>
      <c r="I151" s="117" t="s">
        <v>667</v>
      </c>
      <c r="J151" s="117" t="s">
        <v>377</v>
      </c>
      <c r="K151" s="152" t="str">
        <f t="shared" si="5"/>
        <v>–</v>
      </c>
      <c r="L151" s="117" t="s">
        <v>69</v>
      </c>
      <c r="M151" s="157" t="s">
        <v>668</v>
      </c>
    </row>
    <row r="152" ht="15.75" customHeight="1">
      <c r="A152" s="150" t="s">
        <v>9</v>
      </c>
      <c r="B152" s="153" t="s">
        <v>176</v>
      </c>
      <c r="C152" s="160" t="s">
        <v>669</v>
      </c>
      <c r="D152" s="117" t="s">
        <v>653</v>
      </c>
      <c r="E152" s="117" t="s">
        <v>199</v>
      </c>
      <c r="F152" s="117" t="s">
        <v>670</v>
      </c>
      <c r="G152" s="117" t="s">
        <v>671</v>
      </c>
      <c r="H152" s="117" t="s">
        <v>672</v>
      </c>
      <c r="I152" s="117" t="s">
        <v>673</v>
      </c>
      <c r="J152" s="117" t="s">
        <v>674</v>
      </c>
      <c r="K152" s="152" t="str">
        <f t="shared" si="5"/>
        <v>–</v>
      </c>
      <c r="L152" s="117" t="s">
        <v>69</v>
      </c>
      <c r="M152" s="157" t="s">
        <v>675</v>
      </c>
    </row>
    <row r="153" ht="15.75" customHeight="1">
      <c r="A153" s="150" t="s">
        <v>9</v>
      </c>
      <c r="B153" s="153" t="s">
        <v>176</v>
      </c>
      <c r="C153" s="160" t="s">
        <v>676</v>
      </c>
      <c r="D153" s="117" t="s">
        <v>653</v>
      </c>
      <c r="E153" s="117" t="s">
        <v>199</v>
      </c>
      <c r="F153" s="117" t="s">
        <v>439</v>
      </c>
      <c r="G153" s="117" t="s">
        <v>493</v>
      </c>
      <c r="H153" s="117" t="s">
        <v>278</v>
      </c>
      <c r="I153" s="117" t="s">
        <v>505</v>
      </c>
      <c r="J153" s="117" t="s">
        <v>398</v>
      </c>
      <c r="K153" s="152" t="str">
        <f t="shared" si="5"/>
        <v>–</v>
      </c>
      <c r="L153" s="117" t="s">
        <v>69</v>
      </c>
      <c r="M153" s="157" t="s">
        <v>677</v>
      </c>
    </row>
    <row r="154" ht="15.75" customHeight="1">
      <c r="A154" s="150" t="s">
        <v>9</v>
      </c>
      <c r="B154" s="153" t="s">
        <v>176</v>
      </c>
      <c r="C154" s="160" t="s">
        <v>678</v>
      </c>
      <c r="D154" s="117" t="s">
        <v>653</v>
      </c>
      <c r="E154" s="117" t="s">
        <v>199</v>
      </c>
      <c r="F154" s="117" t="s">
        <v>262</v>
      </c>
      <c r="G154" s="117" t="s">
        <v>493</v>
      </c>
      <c r="H154" s="117" t="s">
        <v>278</v>
      </c>
      <c r="I154" s="117" t="s">
        <v>561</v>
      </c>
      <c r="J154" s="117" t="s">
        <v>377</v>
      </c>
      <c r="K154" s="152" t="str">
        <f t="shared" si="5"/>
        <v>–</v>
      </c>
      <c r="L154" s="117" t="s">
        <v>69</v>
      </c>
      <c r="M154" s="157" t="s">
        <v>679</v>
      </c>
    </row>
    <row r="155" ht="15.75" customHeight="1">
      <c r="A155" s="150" t="s">
        <v>9</v>
      </c>
      <c r="B155" s="153" t="s">
        <v>176</v>
      </c>
      <c r="C155" s="160" t="s">
        <v>680</v>
      </c>
      <c r="D155" s="117" t="s">
        <v>653</v>
      </c>
      <c r="E155" s="117" t="s">
        <v>208</v>
      </c>
      <c r="F155" s="117" t="s">
        <v>681</v>
      </c>
      <c r="G155" s="117" t="s">
        <v>682</v>
      </c>
      <c r="H155" s="117" t="s">
        <v>683</v>
      </c>
      <c r="I155" s="117" t="s">
        <v>684</v>
      </c>
      <c r="J155" s="117" t="s">
        <v>685</v>
      </c>
      <c r="K155" s="152" t="str">
        <f t="shared" si="5"/>
        <v>–</v>
      </c>
      <c r="L155" s="117" t="s">
        <v>69</v>
      </c>
      <c r="M155" s="157" t="s">
        <v>686</v>
      </c>
    </row>
    <row r="156" ht="15.75" customHeight="1">
      <c r="A156" s="150" t="s">
        <v>9</v>
      </c>
      <c r="B156" s="153" t="s">
        <v>176</v>
      </c>
      <c r="C156" s="160" t="s">
        <v>687</v>
      </c>
      <c r="D156" s="117" t="s">
        <v>653</v>
      </c>
      <c r="E156" s="117" t="s">
        <v>208</v>
      </c>
      <c r="F156" s="117" t="s">
        <v>439</v>
      </c>
      <c r="G156" s="117" t="s">
        <v>688</v>
      </c>
      <c r="H156" s="117" t="s">
        <v>683</v>
      </c>
      <c r="I156" s="117" t="s">
        <v>505</v>
      </c>
      <c r="J156" s="117" t="s">
        <v>398</v>
      </c>
      <c r="K156" s="152" t="str">
        <f t="shared" si="5"/>
        <v>–</v>
      </c>
      <c r="L156" s="117" t="s">
        <v>69</v>
      </c>
      <c r="M156" s="157" t="s">
        <v>689</v>
      </c>
    </row>
    <row r="157" ht="15.75" customHeight="1">
      <c r="A157" s="150" t="s">
        <v>9</v>
      </c>
      <c r="B157" s="153" t="s">
        <v>176</v>
      </c>
      <c r="C157" s="160" t="s">
        <v>690</v>
      </c>
      <c r="D157" s="117" t="s">
        <v>653</v>
      </c>
      <c r="E157" s="117" t="s">
        <v>208</v>
      </c>
      <c r="F157" s="117" t="s">
        <v>262</v>
      </c>
      <c r="G157" s="117" t="s">
        <v>688</v>
      </c>
      <c r="H157" s="117" t="s">
        <v>683</v>
      </c>
      <c r="I157" s="117" t="s">
        <v>576</v>
      </c>
      <c r="J157" s="117" t="s">
        <v>377</v>
      </c>
      <c r="K157" s="152" t="str">
        <f t="shared" si="5"/>
        <v>–</v>
      </c>
      <c r="L157" s="117" t="s">
        <v>69</v>
      </c>
      <c r="M157" s="157" t="s">
        <v>691</v>
      </c>
    </row>
    <row r="158" ht="15.75" customHeight="1">
      <c r="A158" s="150" t="s">
        <v>9</v>
      </c>
      <c r="B158" s="153" t="s">
        <v>176</v>
      </c>
      <c r="C158" s="160" t="s">
        <v>692</v>
      </c>
      <c r="D158" s="117" t="s">
        <v>653</v>
      </c>
      <c r="E158" s="117" t="s">
        <v>226</v>
      </c>
      <c r="F158" s="117" t="s">
        <v>693</v>
      </c>
      <c r="G158" s="117" t="s">
        <v>671</v>
      </c>
      <c r="H158" s="117" t="s">
        <v>694</v>
      </c>
      <c r="I158" s="117" t="s">
        <v>511</v>
      </c>
      <c r="J158" s="117" t="s">
        <v>695</v>
      </c>
      <c r="K158" s="152" t="str">
        <f t="shared" si="5"/>
        <v>–</v>
      </c>
      <c r="L158" s="117" t="s">
        <v>69</v>
      </c>
      <c r="M158" s="157" t="s">
        <v>696</v>
      </c>
    </row>
    <row r="159" ht="15.75" customHeight="1">
      <c r="A159" s="150" t="s">
        <v>9</v>
      </c>
      <c r="B159" s="153" t="s">
        <v>176</v>
      </c>
      <c r="C159" s="160" t="s">
        <v>697</v>
      </c>
      <c r="D159" s="117" t="s">
        <v>653</v>
      </c>
      <c r="E159" s="117" t="s">
        <v>226</v>
      </c>
      <c r="F159" s="117" t="s">
        <v>439</v>
      </c>
      <c r="G159" s="117" t="s">
        <v>493</v>
      </c>
      <c r="H159" s="117" t="s">
        <v>233</v>
      </c>
      <c r="I159" s="117" t="s">
        <v>505</v>
      </c>
      <c r="J159" s="117" t="s">
        <v>398</v>
      </c>
      <c r="K159" s="152" t="str">
        <f t="shared" si="5"/>
        <v>–</v>
      </c>
      <c r="L159" s="117" t="s">
        <v>69</v>
      </c>
      <c r="M159" s="157" t="s">
        <v>698</v>
      </c>
    </row>
    <row r="160" ht="15.75" customHeight="1">
      <c r="A160" s="150" t="s">
        <v>9</v>
      </c>
      <c r="B160" s="153" t="s">
        <v>176</v>
      </c>
      <c r="C160" s="160" t="s">
        <v>699</v>
      </c>
      <c r="D160" s="117" t="s">
        <v>653</v>
      </c>
      <c r="E160" s="117" t="s">
        <v>226</v>
      </c>
      <c r="F160" s="117" t="s">
        <v>262</v>
      </c>
      <c r="G160" s="117" t="s">
        <v>671</v>
      </c>
      <c r="H160" s="117" t="s">
        <v>694</v>
      </c>
      <c r="I160" s="117" t="s">
        <v>590</v>
      </c>
      <c r="J160" s="117" t="s">
        <v>377</v>
      </c>
      <c r="K160" s="152" t="str">
        <f t="shared" si="5"/>
        <v>–</v>
      </c>
      <c r="L160" s="117" t="s">
        <v>69</v>
      </c>
      <c r="M160" s="157" t="s">
        <v>700</v>
      </c>
    </row>
    <row r="161" ht="15.75" customHeight="1">
      <c r="A161" s="161" t="s">
        <v>9</v>
      </c>
      <c r="B161" s="162" t="s">
        <v>176</v>
      </c>
      <c r="C161" s="163" t="s">
        <v>701</v>
      </c>
      <c r="D161" s="164" t="s">
        <v>702</v>
      </c>
      <c r="E161" s="164" t="s">
        <v>703</v>
      </c>
      <c r="F161" s="164" t="s">
        <v>704</v>
      </c>
      <c r="G161" s="164" t="s">
        <v>705</v>
      </c>
      <c r="H161" s="164" t="s">
        <v>706</v>
      </c>
      <c r="I161" s="164" t="s">
        <v>707</v>
      </c>
      <c r="J161" s="164" t="s">
        <v>708</v>
      </c>
      <c r="K161" s="152" t="str">
        <f t="shared" si="5"/>
        <v>–</v>
      </c>
      <c r="L161" s="164" t="s">
        <v>69</v>
      </c>
      <c r="M161" s="165" t="s">
        <v>709</v>
      </c>
    </row>
    <row r="162" ht="15.75" customHeight="1">
      <c r="A162" s="161" t="s">
        <v>9</v>
      </c>
      <c r="B162" s="162" t="s">
        <v>176</v>
      </c>
      <c r="C162" s="163" t="s">
        <v>710</v>
      </c>
      <c r="D162" s="164" t="s">
        <v>702</v>
      </c>
      <c r="E162" s="164" t="s">
        <v>703</v>
      </c>
      <c r="F162" s="164" t="s">
        <v>711</v>
      </c>
      <c r="G162" s="164" t="s">
        <v>712</v>
      </c>
      <c r="H162" s="164" t="s">
        <v>706</v>
      </c>
      <c r="I162" s="164" t="s">
        <v>713</v>
      </c>
      <c r="J162" s="164" t="s">
        <v>708</v>
      </c>
      <c r="K162" s="152" t="str">
        <f t="shared" si="5"/>
        <v>–</v>
      </c>
      <c r="L162" s="164" t="s">
        <v>69</v>
      </c>
      <c r="M162" s="165" t="s">
        <v>714</v>
      </c>
    </row>
    <row r="163" ht="15.75" customHeight="1">
      <c r="A163" s="161" t="s">
        <v>9</v>
      </c>
      <c r="B163" s="162" t="s">
        <v>176</v>
      </c>
      <c r="C163" s="163" t="s">
        <v>715</v>
      </c>
      <c r="D163" s="164" t="s">
        <v>702</v>
      </c>
      <c r="E163" s="164" t="s">
        <v>703</v>
      </c>
      <c r="F163" s="164" t="s">
        <v>716</v>
      </c>
      <c r="G163" s="164" t="s">
        <v>705</v>
      </c>
      <c r="H163" s="164" t="s">
        <v>717</v>
      </c>
      <c r="I163" s="164" t="s">
        <v>718</v>
      </c>
      <c r="J163" s="164" t="s">
        <v>719</v>
      </c>
      <c r="K163" s="152" t="str">
        <f t="shared" si="5"/>
        <v>–</v>
      </c>
      <c r="L163" s="164" t="s">
        <v>69</v>
      </c>
      <c r="M163" s="165" t="s">
        <v>720</v>
      </c>
    </row>
    <row r="164" ht="15.75" customHeight="1">
      <c r="A164" s="161" t="s">
        <v>9</v>
      </c>
      <c r="B164" s="162" t="s">
        <v>176</v>
      </c>
      <c r="C164" s="163" t="s">
        <v>721</v>
      </c>
      <c r="D164" s="164" t="s">
        <v>702</v>
      </c>
      <c r="E164" s="164" t="s">
        <v>722</v>
      </c>
      <c r="F164" s="164" t="s">
        <v>723</v>
      </c>
      <c r="G164" s="164" t="s">
        <v>724</v>
      </c>
      <c r="H164" s="164" t="s">
        <v>725</v>
      </c>
      <c r="I164" s="164" t="s">
        <v>726</v>
      </c>
      <c r="J164" s="164" t="s">
        <v>708</v>
      </c>
      <c r="K164" s="152" t="str">
        <f t="shared" si="5"/>
        <v>–</v>
      </c>
      <c r="L164" s="164" t="s">
        <v>69</v>
      </c>
      <c r="M164" s="165" t="s">
        <v>727</v>
      </c>
    </row>
    <row r="165" ht="15.75" customHeight="1">
      <c r="A165" s="161" t="s">
        <v>9</v>
      </c>
      <c r="B165" s="162" t="s">
        <v>176</v>
      </c>
      <c r="C165" s="163" t="s">
        <v>728</v>
      </c>
      <c r="D165" s="164" t="s">
        <v>702</v>
      </c>
      <c r="E165" s="164" t="s">
        <v>722</v>
      </c>
      <c r="F165" s="164" t="s">
        <v>716</v>
      </c>
      <c r="G165" s="164" t="s">
        <v>724</v>
      </c>
      <c r="H165" s="164" t="s">
        <v>729</v>
      </c>
      <c r="I165" s="164" t="s">
        <v>718</v>
      </c>
      <c r="J165" s="164" t="s">
        <v>719</v>
      </c>
      <c r="K165" s="152" t="str">
        <f t="shared" si="5"/>
        <v>–</v>
      </c>
      <c r="L165" s="164" t="s">
        <v>69</v>
      </c>
      <c r="M165" s="165" t="s">
        <v>730</v>
      </c>
    </row>
    <row r="166" ht="15.75" customHeight="1">
      <c r="A166" s="161" t="s">
        <v>9</v>
      </c>
      <c r="B166" s="162" t="s">
        <v>176</v>
      </c>
      <c r="C166" s="163" t="s">
        <v>731</v>
      </c>
      <c r="D166" s="164" t="s">
        <v>702</v>
      </c>
      <c r="E166" s="164" t="s">
        <v>732</v>
      </c>
      <c r="F166" s="164" t="s">
        <v>733</v>
      </c>
      <c r="G166" s="164" t="s">
        <v>705</v>
      </c>
      <c r="H166" s="164" t="s">
        <v>734</v>
      </c>
      <c r="I166" s="164" t="s">
        <v>735</v>
      </c>
      <c r="J166" s="164" t="s">
        <v>708</v>
      </c>
      <c r="K166" s="152" t="str">
        <f t="shared" si="5"/>
        <v>–</v>
      </c>
      <c r="L166" s="164" t="s">
        <v>69</v>
      </c>
      <c r="M166" s="165" t="s">
        <v>736</v>
      </c>
    </row>
    <row r="167" ht="15.75" customHeight="1">
      <c r="A167" s="161" t="s">
        <v>9</v>
      </c>
      <c r="B167" s="162" t="s">
        <v>176</v>
      </c>
      <c r="C167" s="163" t="s">
        <v>737</v>
      </c>
      <c r="D167" s="164" t="s">
        <v>702</v>
      </c>
      <c r="E167" s="164" t="s">
        <v>732</v>
      </c>
      <c r="F167" s="164" t="s">
        <v>716</v>
      </c>
      <c r="G167" s="164" t="s">
        <v>705</v>
      </c>
      <c r="H167" s="164" t="s">
        <v>738</v>
      </c>
      <c r="I167" s="164" t="s">
        <v>718</v>
      </c>
      <c r="J167" s="164" t="s">
        <v>719</v>
      </c>
      <c r="K167" s="152" t="str">
        <f t="shared" si="5"/>
        <v>–</v>
      </c>
      <c r="L167" s="164" t="s">
        <v>69</v>
      </c>
      <c r="M167" s="165" t="s">
        <v>739</v>
      </c>
    </row>
    <row r="168" ht="15.75" customHeight="1">
      <c r="A168" s="161" t="s">
        <v>9</v>
      </c>
      <c r="B168" s="162" t="s">
        <v>176</v>
      </c>
      <c r="C168" s="163" t="s">
        <v>740</v>
      </c>
      <c r="D168" s="164" t="s">
        <v>702</v>
      </c>
      <c r="E168" s="164" t="s">
        <v>741</v>
      </c>
      <c r="F168" s="164" t="s">
        <v>742</v>
      </c>
      <c r="G168" s="164" t="s">
        <v>705</v>
      </c>
      <c r="H168" s="164" t="s">
        <v>743</v>
      </c>
      <c r="I168" s="164" t="s">
        <v>744</v>
      </c>
      <c r="J168" s="164" t="s">
        <v>708</v>
      </c>
      <c r="K168" s="152" t="str">
        <f t="shared" si="5"/>
        <v>–</v>
      </c>
      <c r="L168" s="164" t="s">
        <v>69</v>
      </c>
      <c r="M168" s="165" t="s">
        <v>745</v>
      </c>
    </row>
    <row r="169" ht="15.75" customHeight="1">
      <c r="A169" s="161" t="s">
        <v>9</v>
      </c>
      <c r="B169" s="162" t="s">
        <v>176</v>
      </c>
      <c r="C169" s="163" t="s">
        <v>746</v>
      </c>
      <c r="D169" s="164" t="s">
        <v>702</v>
      </c>
      <c r="E169" s="164" t="s">
        <v>741</v>
      </c>
      <c r="F169" s="164" t="s">
        <v>716</v>
      </c>
      <c r="G169" s="164" t="s">
        <v>705</v>
      </c>
      <c r="H169" s="164" t="s">
        <v>747</v>
      </c>
      <c r="I169" s="164" t="s">
        <v>718</v>
      </c>
      <c r="J169" s="164" t="s">
        <v>719</v>
      </c>
      <c r="K169" s="152" t="str">
        <f t="shared" si="5"/>
        <v>–</v>
      </c>
      <c r="L169" s="164" t="s">
        <v>69</v>
      </c>
      <c r="M169" s="165" t="s">
        <v>748</v>
      </c>
    </row>
    <row r="170" ht="15.75" customHeight="1">
      <c r="A170" s="161" t="s">
        <v>9</v>
      </c>
      <c r="B170" s="162" t="s">
        <v>176</v>
      </c>
      <c r="C170" s="163" t="s">
        <v>749</v>
      </c>
      <c r="D170" s="164" t="s">
        <v>702</v>
      </c>
      <c r="E170" s="164" t="s">
        <v>750</v>
      </c>
      <c r="F170" s="164" t="s">
        <v>751</v>
      </c>
      <c r="G170" s="164" t="s">
        <v>752</v>
      </c>
      <c r="H170" s="164" t="s">
        <v>753</v>
      </c>
      <c r="I170" s="164" t="s">
        <v>754</v>
      </c>
      <c r="J170" s="164" t="s">
        <v>708</v>
      </c>
      <c r="K170" s="152" t="str">
        <f t="shared" si="5"/>
        <v>–</v>
      </c>
      <c r="L170" s="164" t="s">
        <v>69</v>
      </c>
      <c r="M170" s="165" t="s">
        <v>755</v>
      </c>
    </row>
    <row r="171" ht="15.75" customHeight="1">
      <c r="A171" s="161" t="s">
        <v>9</v>
      </c>
      <c r="B171" s="162" t="s">
        <v>176</v>
      </c>
      <c r="C171" s="163" t="s">
        <v>756</v>
      </c>
      <c r="D171" s="164" t="s">
        <v>702</v>
      </c>
      <c r="E171" s="164" t="s">
        <v>750</v>
      </c>
      <c r="F171" s="164" t="s">
        <v>716</v>
      </c>
      <c r="G171" s="164" t="s">
        <v>752</v>
      </c>
      <c r="H171" s="164" t="s">
        <v>757</v>
      </c>
      <c r="I171" s="164" t="s">
        <v>718</v>
      </c>
      <c r="J171" s="164" t="s">
        <v>719</v>
      </c>
      <c r="K171" s="152" t="str">
        <f t="shared" si="5"/>
        <v>–</v>
      </c>
      <c r="L171" s="164" t="s">
        <v>69</v>
      </c>
      <c r="M171" s="165" t="s">
        <v>758</v>
      </c>
    </row>
    <row r="172" ht="15.75" customHeight="1">
      <c r="A172" s="161" t="s">
        <v>9</v>
      </c>
      <c r="B172" s="162" t="s">
        <v>176</v>
      </c>
      <c r="C172" s="163" t="s">
        <v>759</v>
      </c>
      <c r="D172" s="164" t="s">
        <v>702</v>
      </c>
      <c r="E172" s="164" t="s">
        <v>760</v>
      </c>
      <c r="F172" s="164" t="s">
        <v>761</v>
      </c>
      <c r="G172" s="164" t="s">
        <v>705</v>
      </c>
      <c r="H172" s="164" t="s">
        <v>762</v>
      </c>
      <c r="I172" s="164" t="s">
        <v>735</v>
      </c>
      <c r="J172" s="164" t="s">
        <v>708</v>
      </c>
      <c r="K172" s="152" t="str">
        <f t="shared" si="5"/>
        <v>–</v>
      </c>
      <c r="L172" s="164" t="s">
        <v>69</v>
      </c>
      <c r="M172" s="165" t="s">
        <v>763</v>
      </c>
    </row>
    <row r="173" ht="15.75" customHeight="1">
      <c r="A173" s="161" t="s">
        <v>9</v>
      </c>
      <c r="B173" s="162" t="s">
        <v>176</v>
      </c>
      <c r="C173" s="163" t="s">
        <v>764</v>
      </c>
      <c r="D173" s="164" t="s">
        <v>702</v>
      </c>
      <c r="E173" s="164" t="s">
        <v>760</v>
      </c>
      <c r="F173" s="164" t="s">
        <v>716</v>
      </c>
      <c r="G173" s="164" t="s">
        <v>705</v>
      </c>
      <c r="H173" s="164" t="s">
        <v>765</v>
      </c>
      <c r="I173" s="164" t="s">
        <v>718</v>
      </c>
      <c r="J173" s="164" t="s">
        <v>719</v>
      </c>
      <c r="K173" s="152" t="str">
        <f t="shared" si="5"/>
        <v>–</v>
      </c>
      <c r="L173" s="164" t="s">
        <v>69</v>
      </c>
      <c r="M173" s="165" t="s">
        <v>766</v>
      </c>
    </row>
    <row r="174" ht="15.75" customHeight="1">
      <c r="A174" s="161" t="s">
        <v>9</v>
      </c>
      <c r="B174" s="162" t="s">
        <v>176</v>
      </c>
      <c r="C174" s="163" t="s">
        <v>767</v>
      </c>
      <c r="D174" s="164" t="s">
        <v>702</v>
      </c>
      <c r="E174" s="164" t="s">
        <v>768</v>
      </c>
      <c r="F174" s="164" t="s">
        <v>769</v>
      </c>
      <c r="G174" s="164" t="s">
        <v>705</v>
      </c>
      <c r="H174" s="164" t="s">
        <v>770</v>
      </c>
      <c r="I174" s="164" t="s">
        <v>771</v>
      </c>
      <c r="J174" s="164" t="s">
        <v>708</v>
      </c>
      <c r="K174" s="152" t="str">
        <f t="shared" si="5"/>
        <v>–</v>
      </c>
      <c r="L174" s="164" t="s">
        <v>69</v>
      </c>
      <c r="M174" s="165" t="s">
        <v>772</v>
      </c>
    </row>
    <row r="175" ht="15.75" customHeight="1">
      <c r="A175" s="161" t="s">
        <v>9</v>
      </c>
      <c r="B175" s="162" t="s">
        <v>176</v>
      </c>
      <c r="C175" s="163" t="s">
        <v>773</v>
      </c>
      <c r="D175" s="164" t="s">
        <v>702</v>
      </c>
      <c r="E175" s="164" t="s">
        <v>768</v>
      </c>
      <c r="F175" s="164" t="s">
        <v>716</v>
      </c>
      <c r="G175" s="164" t="s">
        <v>705</v>
      </c>
      <c r="H175" s="164" t="s">
        <v>774</v>
      </c>
      <c r="I175" s="164" t="s">
        <v>718</v>
      </c>
      <c r="J175" s="164" t="s">
        <v>719</v>
      </c>
      <c r="K175" s="152" t="str">
        <f t="shared" si="5"/>
        <v>–</v>
      </c>
      <c r="L175" s="164" t="s">
        <v>69</v>
      </c>
      <c r="M175" s="165" t="s">
        <v>775</v>
      </c>
    </row>
    <row r="176" ht="15.75" customHeight="1">
      <c r="A176" s="161" t="s">
        <v>9</v>
      </c>
      <c r="B176" s="162" t="s">
        <v>176</v>
      </c>
      <c r="C176" s="163" t="s">
        <v>776</v>
      </c>
      <c r="D176" s="164" t="s">
        <v>702</v>
      </c>
      <c r="E176" s="164" t="s">
        <v>777</v>
      </c>
      <c r="F176" s="164" t="s">
        <v>778</v>
      </c>
      <c r="G176" s="164" t="s">
        <v>705</v>
      </c>
      <c r="H176" s="164" t="s">
        <v>779</v>
      </c>
      <c r="I176" s="164" t="s">
        <v>780</v>
      </c>
      <c r="J176" s="164" t="s">
        <v>708</v>
      </c>
      <c r="K176" s="152" t="str">
        <f t="shared" si="5"/>
        <v>–</v>
      </c>
      <c r="L176" s="164" t="s">
        <v>69</v>
      </c>
      <c r="M176" s="165" t="s">
        <v>781</v>
      </c>
    </row>
    <row r="177" ht="15.75" customHeight="1">
      <c r="A177" s="161" t="s">
        <v>9</v>
      </c>
      <c r="B177" s="162" t="s">
        <v>176</v>
      </c>
      <c r="C177" s="163" t="s">
        <v>782</v>
      </c>
      <c r="D177" s="164" t="s">
        <v>702</v>
      </c>
      <c r="E177" s="164" t="s">
        <v>777</v>
      </c>
      <c r="F177" s="164" t="s">
        <v>716</v>
      </c>
      <c r="G177" s="164" t="s">
        <v>705</v>
      </c>
      <c r="H177" s="164" t="s">
        <v>783</v>
      </c>
      <c r="I177" s="164" t="s">
        <v>718</v>
      </c>
      <c r="J177" s="164" t="s">
        <v>719</v>
      </c>
      <c r="K177" s="152" t="str">
        <f t="shared" si="5"/>
        <v>–</v>
      </c>
      <c r="L177" s="164" t="s">
        <v>69</v>
      </c>
      <c r="M177" s="165" t="s">
        <v>784</v>
      </c>
    </row>
    <row r="178" ht="15.75" customHeight="1">
      <c r="A178" s="161" t="s">
        <v>9</v>
      </c>
      <c r="B178" s="162" t="s">
        <v>176</v>
      </c>
      <c r="C178" s="163" t="s">
        <v>785</v>
      </c>
      <c r="D178" s="164" t="s">
        <v>702</v>
      </c>
      <c r="E178" s="164" t="s">
        <v>786</v>
      </c>
      <c r="F178" s="164" t="s">
        <v>787</v>
      </c>
      <c r="G178" s="164" t="s">
        <v>788</v>
      </c>
      <c r="H178" s="164" t="s">
        <v>789</v>
      </c>
      <c r="I178" s="164" t="s">
        <v>790</v>
      </c>
      <c r="J178" s="164" t="s">
        <v>708</v>
      </c>
      <c r="K178" s="152" t="str">
        <f t="shared" si="5"/>
        <v>–</v>
      </c>
      <c r="L178" s="164" t="s">
        <v>69</v>
      </c>
      <c r="M178" s="165" t="s">
        <v>791</v>
      </c>
    </row>
    <row r="179" ht="15.75" customHeight="1">
      <c r="A179" s="161" t="s">
        <v>9</v>
      </c>
      <c r="B179" s="162" t="s">
        <v>176</v>
      </c>
      <c r="C179" s="163" t="s">
        <v>792</v>
      </c>
      <c r="D179" s="164" t="s">
        <v>702</v>
      </c>
      <c r="E179" s="164" t="s">
        <v>786</v>
      </c>
      <c r="F179" s="164" t="s">
        <v>793</v>
      </c>
      <c r="G179" s="164" t="s">
        <v>794</v>
      </c>
      <c r="H179" s="164" t="s">
        <v>795</v>
      </c>
      <c r="I179" s="164" t="s">
        <v>796</v>
      </c>
      <c r="J179" s="164" t="s">
        <v>708</v>
      </c>
      <c r="K179" s="152" t="str">
        <f t="shared" si="5"/>
        <v>–</v>
      </c>
      <c r="L179" s="164" t="s">
        <v>69</v>
      </c>
      <c r="M179" s="165" t="s">
        <v>797</v>
      </c>
    </row>
    <row r="180" ht="15.75" customHeight="1">
      <c r="A180" s="161" t="s">
        <v>9</v>
      </c>
      <c r="B180" s="162" t="s">
        <v>176</v>
      </c>
      <c r="C180" s="163" t="s">
        <v>798</v>
      </c>
      <c r="D180" s="164" t="s">
        <v>702</v>
      </c>
      <c r="E180" s="164" t="s">
        <v>786</v>
      </c>
      <c r="F180" s="164" t="s">
        <v>716</v>
      </c>
      <c r="G180" s="164" t="s">
        <v>799</v>
      </c>
      <c r="H180" s="164" t="s">
        <v>800</v>
      </c>
      <c r="I180" s="164" t="s">
        <v>718</v>
      </c>
      <c r="J180" s="164" t="s">
        <v>719</v>
      </c>
      <c r="K180" s="152" t="str">
        <f t="shared" si="5"/>
        <v>–</v>
      </c>
      <c r="L180" s="164" t="s">
        <v>69</v>
      </c>
      <c r="M180" s="165" t="s">
        <v>801</v>
      </c>
    </row>
    <row r="181" ht="15.75" customHeight="1">
      <c r="A181" s="161" t="s">
        <v>9</v>
      </c>
      <c r="B181" s="162" t="s">
        <v>176</v>
      </c>
      <c r="C181" s="163" t="s">
        <v>802</v>
      </c>
      <c r="D181" s="164" t="s">
        <v>702</v>
      </c>
      <c r="E181" s="164" t="s">
        <v>803</v>
      </c>
      <c r="F181" s="164" t="s">
        <v>804</v>
      </c>
      <c r="G181" s="164" t="s">
        <v>805</v>
      </c>
      <c r="H181" s="164" t="s">
        <v>806</v>
      </c>
      <c r="I181" s="164" t="s">
        <v>807</v>
      </c>
      <c r="J181" s="164" t="s">
        <v>708</v>
      </c>
      <c r="K181" s="152" t="str">
        <f t="shared" si="5"/>
        <v>–</v>
      </c>
      <c r="L181" s="164" t="s">
        <v>69</v>
      </c>
      <c r="M181" s="165" t="s">
        <v>808</v>
      </c>
    </row>
    <row r="182" ht="15.75" customHeight="1">
      <c r="A182" s="161" t="s">
        <v>9</v>
      </c>
      <c r="B182" s="162" t="s">
        <v>176</v>
      </c>
      <c r="C182" s="163" t="s">
        <v>809</v>
      </c>
      <c r="D182" s="164" t="s">
        <v>702</v>
      </c>
      <c r="E182" s="164" t="s">
        <v>803</v>
      </c>
      <c r="F182" s="164" t="s">
        <v>716</v>
      </c>
      <c r="G182" s="164" t="s">
        <v>805</v>
      </c>
      <c r="H182" s="164" t="s">
        <v>810</v>
      </c>
      <c r="I182" s="164" t="s">
        <v>718</v>
      </c>
      <c r="J182" s="164" t="s">
        <v>719</v>
      </c>
      <c r="K182" s="152" t="str">
        <f t="shared" si="5"/>
        <v>–</v>
      </c>
      <c r="L182" s="164" t="s">
        <v>69</v>
      </c>
      <c r="M182" s="165" t="s">
        <v>811</v>
      </c>
    </row>
    <row r="183" ht="15.75" customHeight="1">
      <c r="A183" s="161" t="s">
        <v>9</v>
      </c>
      <c r="B183" s="162" t="s">
        <v>176</v>
      </c>
      <c r="C183" s="163" t="s">
        <v>812</v>
      </c>
      <c r="D183" s="164" t="s">
        <v>702</v>
      </c>
      <c r="E183" s="164" t="s">
        <v>813</v>
      </c>
      <c r="F183" s="164" t="s">
        <v>814</v>
      </c>
      <c r="G183" s="164" t="s">
        <v>320</v>
      </c>
      <c r="H183" s="164" t="s">
        <v>815</v>
      </c>
      <c r="I183" s="164" t="s">
        <v>816</v>
      </c>
      <c r="J183" s="164" t="s">
        <v>817</v>
      </c>
      <c r="K183" s="152" t="str">
        <f t="shared" si="5"/>
        <v>–</v>
      </c>
      <c r="L183" s="164" t="s">
        <v>69</v>
      </c>
      <c r="M183" s="165" t="s">
        <v>818</v>
      </c>
    </row>
    <row r="184" ht="15.75" customHeight="1">
      <c r="A184" s="161" t="s">
        <v>9</v>
      </c>
      <c r="B184" s="162" t="s">
        <v>176</v>
      </c>
      <c r="C184" s="163" t="s">
        <v>819</v>
      </c>
      <c r="D184" s="164" t="s">
        <v>702</v>
      </c>
      <c r="E184" s="164" t="s">
        <v>820</v>
      </c>
      <c r="F184" s="164" t="s">
        <v>821</v>
      </c>
      <c r="G184" s="164" t="s">
        <v>320</v>
      </c>
      <c r="H184" s="164" t="s">
        <v>822</v>
      </c>
      <c r="I184" s="164" t="s">
        <v>823</v>
      </c>
      <c r="J184" s="164" t="s">
        <v>824</v>
      </c>
      <c r="K184" s="152" t="str">
        <f t="shared" si="5"/>
        <v>–</v>
      </c>
      <c r="L184" s="164" t="s">
        <v>69</v>
      </c>
      <c r="M184" s="165" t="s">
        <v>825</v>
      </c>
    </row>
    <row r="185" ht="15.75" customHeight="1">
      <c r="A185" s="161" t="s">
        <v>9</v>
      </c>
      <c r="B185" s="162" t="s">
        <v>176</v>
      </c>
      <c r="C185" s="163" t="s">
        <v>826</v>
      </c>
      <c r="D185" s="164" t="s">
        <v>827</v>
      </c>
      <c r="E185" s="164" t="s">
        <v>179</v>
      </c>
      <c r="F185" s="164" t="s">
        <v>654</v>
      </c>
      <c r="G185" s="164" t="s">
        <v>828</v>
      </c>
      <c r="H185" s="164" t="s">
        <v>182</v>
      </c>
      <c r="I185" s="164" t="s">
        <v>829</v>
      </c>
      <c r="J185" s="164" t="s">
        <v>830</v>
      </c>
      <c r="K185" s="152" t="str">
        <f t="shared" si="5"/>
        <v>–</v>
      </c>
      <c r="L185" s="164" t="s">
        <v>69</v>
      </c>
      <c r="M185" s="166" t="s">
        <v>831</v>
      </c>
    </row>
    <row r="186" ht="15.75" customHeight="1">
      <c r="A186" s="161" t="s">
        <v>9</v>
      </c>
      <c r="B186" s="162" t="s">
        <v>176</v>
      </c>
      <c r="C186" s="163" t="s">
        <v>832</v>
      </c>
      <c r="D186" s="164" t="s">
        <v>827</v>
      </c>
      <c r="E186" s="164" t="s">
        <v>179</v>
      </c>
      <c r="F186" s="164" t="s">
        <v>833</v>
      </c>
      <c r="G186" s="164" t="s">
        <v>828</v>
      </c>
      <c r="H186" s="164" t="s">
        <v>834</v>
      </c>
      <c r="I186" s="164" t="s">
        <v>317</v>
      </c>
      <c r="J186" s="164" t="s">
        <v>377</v>
      </c>
      <c r="K186" s="152" t="str">
        <f t="shared" si="5"/>
        <v>–</v>
      </c>
      <c r="L186" s="164" t="s">
        <v>69</v>
      </c>
      <c r="M186" s="166" t="s">
        <v>831</v>
      </c>
    </row>
    <row r="187" ht="15.75" customHeight="1">
      <c r="A187" s="161" t="s">
        <v>9</v>
      </c>
      <c r="B187" s="162" t="s">
        <v>176</v>
      </c>
      <c r="C187" s="163" t="s">
        <v>835</v>
      </c>
      <c r="D187" s="164" t="s">
        <v>827</v>
      </c>
      <c r="E187" s="164" t="s">
        <v>179</v>
      </c>
      <c r="F187" s="164" t="s">
        <v>836</v>
      </c>
      <c r="G187" s="164" t="s">
        <v>828</v>
      </c>
      <c r="H187" s="164" t="s">
        <v>837</v>
      </c>
      <c r="I187" s="164" t="s">
        <v>317</v>
      </c>
      <c r="J187" s="164" t="s">
        <v>377</v>
      </c>
      <c r="K187" s="152" t="str">
        <f t="shared" si="5"/>
        <v>–</v>
      </c>
      <c r="L187" s="164" t="s">
        <v>69</v>
      </c>
      <c r="M187" s="166" t="s">
        <v>831</v>
      </c>
    </row>
    <row r="188" ht="15.75" customHeight="1">
      <c r="A188" s="161" t="s">
        <v>9</v>
      </c>
      <c r="B188" s="162" t="s">
        <v>176</v>
      </c>
      <c r="C188" s="163" t="s">
        <v>838</v>
      </c>
      <c r="D188" s="164" t="s">
        <v>827</v>
      </c>
      <c r="E188" s="164" t="s">
        <v>191</v>
      </c>
      <c r="F188" s="164" t="s">
        <v>839</v>
      </c>
      <c r="G188" s="164" t="s">
        <v>320</v>
      </c>
      <c r="H188" s="164" t="s">
        <v>194</v>
      </c>
      <c r="I188" s="164" t="s">
        <v>840</v>
      </c>
      <c r="J188" s="164" t="s">
        <v>841</v>
      </c>
      <c r="K188" s="152" t="str">
        <f t="shared" si="5"/>
        <v>–</v>
      </c>
      <c r="L188" s="164" t="s">
        <v>69</v>
      </c>
      <c r="M188" s="166" t="s">
        <v>831</v>
      </c>
    </row>
    <row r="189" ht="15.75" customHeight="1">
      <c r="A189" s="161" t="s">
        <v>9</v>
      </c>
      <c r="B189" s="162" t="s">
        <v>176</v>
      </c>
      <c r="C189" s="163" t="s">
        <v>842</v>
      </c>
      <c r="D189" s="164" t="s">
        <v>827</v>
      </c>
      <c r="E189" s="164" t="s">
        <v>191</v>
      </c>
      <c r="F189" s="164" t="s">
        <v>843</v>
      </c>
      <c r="G189" s="164" t="s">
        <v>320</v>
      </c>
      <c r="H189" s="164" t="s">
        <v>844</v>
      </c>
      <c r="I189" s="164" t="s">
        <v>317</v>
      </c>
      <c r="J189" s="164" t="s">
        <v>377</v>
      </c>
      <c r="K189" s="152" t="str">
        <f t="shared" si="5"/>
        <v>–</v>
      </c>
      <c r="L189" s="164" t="s">
        <v>69</v>
      </c>
      <c r="M189" s="166" t="s">
        <v>831</v>
      </c>
    </row>
    <row r="190" ht="15.75" customHeight="1">
      <c r="A190" s="161" t="s">
        <v>9</v>
      </c>
      <c r="B190" s="162" t="s">
        <v>176</v>
      </c>
      <c r="C190" s="163" t="s">
        <v>845</v>
      </c>
      <c r="D190" s="164" t="s">
        <v>827</v>
      </c>
      <c r="E190" s="164" t="s">
        <v>199</v>
      </c>
      <c r="F190" s="164" t="s">
        <v>846</v>
      </c>
      <c r="G190" s="164" t="s">
        <v>847</v>
      </c>
      <c r="H190" s="164" t="s">
        <v>848</v>
      </c>
      <c r="I190" s="164" t="s">
        <v>849</v>
      </c>
      <c r="J190" s="164" t="s">
        <v>850</v>
      </c>
      <c r="K190" s="152" t="str">
        <f t="shared" si="5"/>
        <v>–</v>
      </c>
      <c r="L190" s="164" t="s">
        <v>69</v>
      </c>
      <c r="M190" s="166" t="s">
        <v>831</v>
      </c>
    </row>
    <row r="191" ht="15.75" customHeight="1">
      <c r="A191" s="161" t="s">
        <v>9</v>
      </c>
      <c r="B191" s="162" t="s">
        <v>176</v>
      </c>
      <c r="C191" s="163" t="s">
        <v>851</v>
      </c>
      <c r="D191" s="164" t="s">
        <v>827</v>
      </c>
      <c r="E191" s="164" t="s">
        <v>199</v>
      </c>
      <c r="F191" s="164" t="s">
        <v>843</v>
      </c>
      <c r="G191" s="164" t="s">
        <v>493</v>
      </c>
      <c r="H191" s="164" t="s">
        <v>852</v>
      </c>
      <c r="I191" s="164" t="s">
        <v>317</v>
      </c>
      <c r="J191" s="164" t="s">
        <v>377</v>
      </c>
      <c r="K191" s="152" t="str">
        <f t="shared" si="5"/>
        <v>–</v>
      </c>
      <c r="L191" s="164" t="s">
        <v>69</v>
      </c>
      <c r="M191" s="166" t="s">
        <v>831</v>
      </c>
    </row>
    <row r="192" ht="15.75" customHeight="1">
      <c r="A192" s="161" t="s">
        <v>9</v>
      </c>
      <c r="B192" s="162" t="s">
        <v>176</v>
      </c>
      <c r="C192" s="163" t="s">
        <v>853</v>
      </c>
      <c r="D192" s="164" t="s">
        <v>827</v>
      </c>
      <c r="E192" s="164" t="s">
        <v>208</v>
      </c>
      <c r="F192" s="164" t="s">
        <v>854</v>
      </c>
      <c r="G192" s="164" t="s">
        <v>855</v>
      </c>
      <c r="H192" s="164" t="s">
        <v>856</v>
      </c>
      <c r="I192" s="164" t="s">
        <v>857</v>
      </c>
      <c r="J192" s="164" t="s">
        <v>858</v>
      </c>
      <c r="K192" s="152" t="str">
        <f t="shared" si="5"/>
        <v>–</v>
      </c>
      <c r="L192" s="164" t="s">
        <v>69</v>
      </c>
      <c r="M192" s="166" t="s">
        <v>831</v>
      </c>
    </row>
    <row r="193" ht="15.75" customHeight="1">
      <c r="A193" s="161" t="s">
        <v>9</v>
      </c>
      <c r="B193" s="162" t="s">
        <v>176</v>
      </c>
      <c r="C193" s="163" t="s">
        <v>859</v>
      </c>
      <c r="D193" s="164" t="s">
        <v>827</v>
      </c>
      <c r="E193" s="164" t="s">
        <v>208</v>
      </c>
      <c r="F193" s="164" t="s">
        <v>860</v>
      </c>
      <c r="G193" s="164" t="s">
        <v>861</v>
      </c>
      <c r="H193" s="164" t="s">
        <v>862</v>
      </c>
      <c r="I193" s="164" t="s">
        <v>332</v>
      </c>
      <c r="J193" s="164" t="s">
        <v>398</v>
      </c>
      <c r="K193" s="152" t="str">
        <f t="shared" si="5"/>
        <v>–</v>
      </c>
      <c r="L193" s="164" t="s">
        <v>69</v>
      </c>
      <c r="M193" s="166" t="s">
        <v>831</v>
      </c>
    </row>
    <row r="194" ht="15.75" customHeight="1">
      <c r="A194" s="161" t="s">
        <v>9</v>
      </c>
      <c r="B194" s="162" t="s">
        <v>176</v>
      </c>
      <c r="C194" s="163" t="s">
        <v>863</v>
      </c>
      <c r="D194" s="164" t="s">
        <v>827</v>
      </c>
      <c r="E194" s="164" t="s">
        <v>208</v>
      </c>
      <c r="F194" s="164" t="s">
        <v>864</v>
      </c>
      <c r="G194" s="164" t="s">
        <v>855</v>
      </c>
      <c r="H194" s="164" t="s">
        <v>865</v>
      </c>
      <c r="I194" s="164" t="s">
        <v>332</v>
      </c>
      <c r="J194" s="164" t="s">
        <v>398</v>
      </c>
      <c r="K194" s="152" t="str">
        <f t="shared" si="5"/>
        <v>–</v>
      </c>
      <c r="L194" s="164" t="s">
        <v>69</v>
      </c>
      <c r="M194" s="166" t="s">
        <v>831</v>
      </c>
    </row>
    <row r="195" ht="15.75" customHeight="1">
      <c r="A195" s="161" t="s">
        <v>9</v>
      </c>
      <c r="B195" s="162" t="s">
        <v>176</v>
      </c>
      <c r="C195" s="163" t="s">
        <v>866</v>
      </c>
      <c r="D195" s="164" t="s">
        <v>827</v>
      </c>
      <c r="E195" s="164" t="s">
        <v>208</v>
      </c>
      <c r="F195" s="164" t="s">
        <v>867</v>
      </c>
      <c r="G195" s="164" t="s">
        <v>855</v>
      </c>
      <c r="H195" s="164" t="s">
        <v>868</v>
      </c>
      <c r="I195" s="164" t="s">
        <v>317</v>
      </c>
      <c r="J195" s="164" t="s">
        <v>377</v>
      </c>
      <c r="K195" s="152" t="str">
        <f t="shared" si="5"/>
        <v>–</v>
      </c>
      <c r="L195" s="164" t="s">
        <v>69</v>
      </c>
      <c r="M195" s="166" t="s">
        <v>831</v>
      </c>
    </row>
    <row r="196" ht="15.75" customHeight="1">
      <c r="A196" s="161" t="s">
        <v>9</v>
      </c>
      <c r="B196" s="162" t="s">
        <v>176</v>
      </c>
      <c r="C196" s="163" t="s">
        <v>869</v>
      </c>
      <c r="D196" s="164" t="s">
        <v>827</v>
      </c>
      <c r="E196" s="164" t="s">
        <v>226</v>
      </c>
      <c r="F196" s="164" t="s">
        <v>870</v>
      </c>
      <c r="G196" s="164" t="s">
        <v>847</v>
      </c>
      <c r="H196" s="164" t="s">
        <v>871</v>
      </c>
      <c r="I196" s="164" t="s">
        <v>872</v>
      </c>
      <c r="J196" s="164" t="s">
        <v>873</v>
      </c>
      <c r="K196" s="152" t="str">
        <f t="shared" si="5"/>
        <v>–</v>
      </c>
      <c r="L196" s="164" t="s">
        <v>69</v>
      </c>
      <c r="M196" s="166" t="s">
        <v>831</v>
      </c>
    </row>
    <row r="197" ht="15.75" customHeight="1">
      <c r="A197" s="161" t="s">
        <v>9</v>
      </c>
      <c r="B197" s="162" t="s">
        <v>176</v>
      </c>
      <c r="C197" s="163" t="s">
        <v>874</v>
      </c>
      <c r="D197" s="164" t="s">
        <v>827</v>
      </c>
      <c r="E197" s="164" t="s">
        <v>226</v>
      </c>
      <c r="F197" s="164" t="s">
        <v>875</v>
      </c>
      <c r="G197" s="164" t="s">
        <v>493</v>
      </c>
      <c r="H197" s="164" t="s">
        <v>233</v>
      </c>
      <c r="I197" s="164" t="s">
        <v>332</v>
      </c>
      <c r="J197" s="164" t="s">
        <v>398</v>
      </c>
      <c r="K197" s="152" t="str">
        <f t="shared" si="5"/>
        <v>–</v>
      </c>
      <c r="L197" s="164" t="s">
        <v>69</v>
      </c>
      <c r="M197" s="166" t="s">
        <v>831</v>
      </c>
    </row>
    <row r="198" ht="15.75" customHeight="1">
      <c r="A198" s="161" t="s">
        <v>9</v>
      </c>
      <c r="B198" s="162" t="s">
        <v>176</v>
      </c>
      <c r="C198" s="163" t="s">
        <v>876</v>
      </c>
      <c r="D198" s="164" t="s">
        <v>827</v>
      </c>
      <c r="E198" s="164" t="s">
        <v>226</v>
      </c>
      <c r="F198" s="164" t="s">
        <v>877</v>
      </c>
      <c r="G198" s="164" t="s">
        <v>847</v>
      </c>
      <c r="H198" s="164" t="s">
        <v>878</v>
      </c>
      <c r="I198" s="164" t="s">
        <v>317</v>
      </c>
      <c r="J198" s="164" t="s">
        <v>377</v>
      </c>
      <c r="K198" s="152" t="str">
        <f t="shared" si="5"/>
        <v>–</v>
      </c>
      <c r="L198" s="164" t="s">
        <v>69</v>
      </c>
      <c r="M198" s="166" t="s">
        <v>831</v>
      </c>
    </row>
    <row r="199" ht="15.75" customHeight="1">
      <c r="A199" s="167" t="s">
        <v>9</v>
      </c>
      <c r="B199" s="168" t="s">
        <v>176</v>
      </c>
      <c r="C199" s="169" t="s">
        <v>879</v>
      </c>
      <c r="D199" s="164" t="s">
        <v>880</v>
      </c>
      <c r="E199" s="164" t="s">
        <v>881</v>
      </c>
      <c r="F199" s="164" t="s">
        <v>882</v>
      </c>
      <c r="G199" s="164" t="s">
        <v>883</v>
      </c>
      <c r="H199" s="164" t="s">
        <v>884</v>
      </c>
      <c r="I199" s="164" t="s">
        <v>885</v>
      </c>
      <c r="J199" s="164" t="s">
        <v>886</v>
      </c>
      <c r="K199" s="170" t="s">
        <v>887</v>
      </c>
      <c r="L199" s="171" t="s">
        <v>69</v>
      </c>
      <c r="M199" s="172" t="s">
        <v>888</v>
      </c>
    </row>
    <row r="200" ht="15.75" customHeight="1">
      <c r="A200" s="167" t="s">
        <v>9</v>
      </c>
      <c r="B200" s="168" t="s">
        <v>176</v>
      </c>
      <c r="C200" s="169" t="s">
        <v>889</v>
      </c>
      <c r="D200" s="164" t="s">
        <v>880</v>
      </c>
      <c r="E200" s="164" t="s">
        <v>881</v>
      </c>
      <c r="F200" s="164" t="s">
        <v>890</v>
      </c>
      <c r="G200" s="164" t="s">
        <v>891</v>
      </c>
      <c r="H200" s="164" t="s">
        <v>884</v>
      </c>
      <c r="I200" s="164" t="s">
        <v>892</v>
      </c>
      <c r="J200" s="164" t="s">
        <v>893</v>
      </c>
      <c r="K200" s="170" t="s">
        <v>887</v>
      </c>
      <c r="L200" s="173" t="s">
        <v>69</v>
      </c>
      <c r="M200" s="172" t="s">
        <v>888</v>
      </c>
    </row>
    <row r="201" ht="15.75" customHeight="1">
      <c r="A201" s="167" t="s">
        <v>9</v>
      </c>
      <c r="B201" s="168" t="s">
        <v>176</v>
      </c>
      <c r="C201" s="169" t="s">
        <v>894</v>
      </c>
      <c r="D201" s="164" t="s">
        <v>880</v>
      </c>
      <c r="E201" s="164" t="s">
        <v>881</v>
      </c>
      <c r="F201" s="164" t="s">
        <v>895</v>
      </c>
      <c r="G201" s="164" t="s">
        <v>320</v>
      </c>
      <c r="H201" s="164" t="s">
        <v>896</v>
      </c>
      <c r="I201" s="164" t="s">
        <v>897</v>
      </c>
      <c r="J201" s="164" t="s">
        <v>898</v>
      </c>
      <c r="K201" s="170" t="s">
        <v>887</v>
      </c>
      <c r="L201" s="173" t="s">
        <v>69</v>
      </c>
      <c r="M201" s="172" t="s">
        <v>888</v>
      </c>
    </row>
    <row r="202" ht="15.75" customHeight="1">
      <c r="A202" s="167" t="s">
        <v>9</v>
      </c>
      <c r="B202" s="168" t="s">
        <v>176</v>
      </c>
      <c r="C202" s="169" t="s">
        <v>899</v>
      </c>
      <c r="D202" s="164" t="s">
        <v>880</v>
      </c>
      <c r="E202" s="164" t="s">
        <v>900</v>
      </c>
      <c r="F202" s="164" t="s">
        <v>882</v>
      </c>
      <c r="G202" s="164" t="s">
        <v>883</v>
      </c>
      <c r="H202" s="164" t="s">
        <v>901</v>
      </c>
      <c r="I202" s="164" t="s">
        <v>902</v>
      </c>
      <c r="J202" s="164" t="s">
        <v>903</v>
      </c>
      <c r="K202" s="170" t="s">
        <v>887</v>
      </c>
      <c r="L202" s="173" t="s">
        <v>69</v>
      </c>
      <c r="M202" s="172" t="s">
        <v>888</v>
      </c>
    </row>
    <row r="203" ht="15.75" customHeight="1">
      <c r="A203" s="167" t="s">
        <v>9</v>
      </c>
      <c r="B203" s="168" t="s">
        <v>176</v>
      </c>
      <c r="C203" s="169" t="s">
        <v>904</v>
      </c>
      <c r="D203" s="164" t="s">
        <v>880</v>
      </c>
      <c r="E203" s="164" t="s">
        <v>900</v>
      </c>
      <c r="F203" s="164" t="s">
        <v>905</v>
      </c>
      <c r="G203" s="164" t="s">
        <v>320</v>
      </c>
      <c r="H203" s="164" t="s">
        <v>906</v>
      </c>
      <c r="I203" s="164" t="s">
        <v>907</v>
      </c>
      <c r="J203" s="164" t="s">
        <v>908</v>
      </c>
      <c r="K203" s="170" t="s">
        <v>887</v>
      </c>
      <c r="L203" s="173" t="s">
        <v>69</v>
      </c>
      <c r="M203" s="172" t="s">
        <v>888</v>
      </c>
    </row>
    <row r="204" ht="15.75" customHeight="1">
      <c r="A204" s="167" t="s">
        <v>9</v>
      </c>
      <c r="B204" s="168" t="s">
        <v>176</v>
      </c>
      <c r="C204" s="169" t="s">
        <v>909</v>
      </c>
      <c r="D204" s="164" t="s">
        <v>880</v>
      </c>
      <c r="E204" s="164" t="s">
        <v>900</v>
      </c>
      <c r="F204" s="164" t="s">
        <v>895</v>
      </c>
      <c r="G204" s="164" t="s">
        <v>320</v>
      </c>
      <c r="H204" s="164" t="s">
        <v>910</v>
      </c>
      <c r="I204" s="164" t="s">
        <v>911</v>
      </c>
      <c r="J204" s="164" t="s">
        <v>912</v>
      </c>
      <c r="K204" s="170" t="s">
        <v>887</v>
      </c>
      <c r="L204" s="173" t="s">
        <v>69</v>
      </c>
      <c r="M204" s="172" t="s">
        <v>888</v>
      </c>
    </row>
    <row r="205" ht="15.75" customHeight="1">
      <c r="A205" s="167" t="s">
        <v>9</v>
      </c>
      <c r="B205" s="168" t="s">
        <v>176</v>
      </c>
      <c r="C205" s="169" t="s">
        <v>913</v>
      </c>
      <c r="D205" s="164" t="s">
        <v>880</v>
      </c>
      <c r="E205" s="164" t="s">
        <v>914</v>
      </c>
      <c r="F205" s="164" t="s">
        <v>915</v>
      </c>
      <c r="G205" s="164" t="s">
        <v>320</v>
      </c>
      <c r="H205" s="164" t="s">
        <v>916</v>
      </c>
      <c r="I205" s="164" t="s">
        <v>917</v>
      </c>
      <c r="J205" s="164" t="s">
        <v>918</v>
      </c>
      <c r="K205" s="170" t="s">
        <v>887</v>
      </c>
      <c r="L205" s="173" t="s">
        <v>69</v>
      </c>
      <c r="M205" s="172" t="s">
        <v>888</v>
      </c>
    </row>
    <row r="206" ht="15.75" customHeight="1">
      <c r="A206" s="167" t="s">
        <v>9</v>
      </c>
      <c r="B206" s="168" t="s">
        <v>176</v>
      </c>
      <c r="C206" s="169" t="s">
        <v>919</v>
      </c>
      <c r="D206" s="174" t="s">
        <v>880</v>
      </c>
      <c r="E206" s="174" t="s">
        <v>914</v>
      </c>
      <c r="F206" s="174" t="s">
        <v>895</v>
      </c>
      <c r="G206" s="174" t="s">
        <v>320</v>
      </c>
      <c r="H206" s="174" t="s">
        <v>920</v>
      </c>
      <c r="I206" s="174" t="s">
        <v>921</v>
      </c>
      <c r="J206" s="174" t="s">
        <v>922</v>
      </c>
      <c r="K206" s="170" t="s">
        <v>887</v>
      </c>
      <c r="L206" s="175" t="s">
        <v>69</v>
      </c>
      <c r="M206" s="172" t="s">
        <v>888</v>
      </c>
    </row>
    <row r="207" ht="15.75" customHeight="1">
      <c r="A207" s="167" t="s">
        <v>9</v>
      </c>
      <c r="B207" s="168" t="s">
        <v>176</v>
      </c>
      <c r="C207" s="169" t="s">
        <v>923</v>
      </c>
      <c r="D207" s="164" t="s">
        <v>924</v>
      </c>
      <c r="E207" s="164" t="s">
        <v>925</v>
      </c>
      <c r="F207" s="164" t="s">
        <v>926</v>
      </c>
      <c r="G207" s="164" t="s">
        <v>927</v>
      </c>
      <c r="H207" s="164" t="s">
        <v>928</v>
      </c>
      <c r="I207" s="164" t="s">
        <v>929</v>
      </c>
      <c r="J207" s="164" t="s">
        <v>930</v>
      </c>
      <c r="K207" s="170" t="s">
        <v>887</v>
      </c>
      <c r="L207" s="164" t="s">
        <v>69</v>
      </c>
      <c r="M207" s="176" t="s">
        <v>931</v>
      </c>
    </row>
    <row r="208" ht="15.75" customHeight="1">
      <c r="A208" s="167" t="s">
        <v>9</v>
      </c>
      <c r="B208" s="168" t="s">
        <v>176</v>
      </c>
      <c r="C208" s="169" t="s">
        <v>932</v>
      </c>
      <c r="D208" s="164" t="s">
        <v>924</v>
      </c>
      <c r="E208" s="164" t="s">
        <v>925</v>
      </c>
      <c r="F208" s="164" t="s">
        <v>933</v>
      </c>
      <c r="G208" s="164" t="s">
        <v>320</v>
      </c>
      <c r="H208" s="164" t="s">
        <v>934</v>
      </c>
      <c r="I208" s="164" t="s">
        <v>935</v>
      </c>
      <c r="J208" s="164" t="s">
        <v>936</v>
      </c>
      <c r="K208" s="170" t="s">
        <v>887</v>
      </c>
      <c r="L208" s="164" t="s">
        <v>69</v>
      </c>
      <c r="M208" s="176" t="s">
        <v>931</v>
      </c>
    </row>
    <row r="209" ht="15.75" customHeight="1">
      <c r="A209" s="167" t="s">
        <v>9</v>
      </c>
      <c r="B209" s="168" t="s">
        <v>176</v>
      </c>
      <c r="C209" s="169" t="s">
        <v>937</v>
      </c>
      <c r="D209" s="164" t="s">
        <v>924</v>
      </c>
      <c r="E209" s="164" t="s">
        <v>925</v>
      </c>
      <c r="F209" s="164" t="s">
        <v>938</v>
      </c>
      <c r="G209" s="164" t="s">
        <v>320</v>
      </c>
      <c r="H209" s="164" t="s">
        <v>939</v>
      </c>
      <c r="I209" s="164" t="s">
        <v>940</v>
      </c>
      <c r="J209" s="164" t="s">
        <v>898</v>
      </c>
      <c r="K209" s="170" t="s">
        <v>887</v>
      </c>
      <c r="L209" s="164" t="s">
        <v>69</v>
      </c>
      <c r="M209" s="176" t="s">
        <v>931</v>
      </c>
    </row>
    <row r="210" ht="15.75" customHeight="1">
      <c r="A210" s="167" t="s">
        <v>9</v>
      </c>
      <c r="B210" s="168" t="s">
        <v>176</v>
      </c>
      <c r="C210" s="169" t="s">
        <v>941</v>
      </c>
      <c r="D210" s="164" t="s">
        <v>924</v>
      </c>
      <c r="E210" s="164" t="s">
        <v>925</v>
      </c>
      <c r="F210" s="164" t="s">
        <v>942</v>
      </c>
      <c r="G210" s="164" t="s">
        <v>320</v>
      </c>
      <c r="H210" s="164" t="s">
        <v>943</v>
      </c>
      <c r="I210" s="164" t="s">
        <v>944</v>
      </c>
      <c r="J210" s="164" t="s">
        <v>945</v>
      </c>
      <c r="K210" s="170" t="s">
        <v>887</v>
      </c>
      <c r="L210" s="164" t="s">
        <v>69</v>
      </c>
      <c r="M210" s="176" t="s">
        <v>931</v>
      </c>
    </row>
    <row r="211" ht="15.75" customHeight="1">
      <c r="A211" s="167" t="s">
        <v>9</v>
      </c>
      <c r="B211" s="168" t="s">
        <v>176</v>
      </c>
      <c r="C211" s="169" t="s">
        <v>946</v>
      </c>
      <c r="D211" s="164" t="s">
        <v>924</v>
      </c>
      <c r="E211" s="164" t="s">
        <v>947</v>
      </c>
      <c r="F211" s="164" t="s">
        <v>948</v>
      </c>
      <c r="G211" s="164" t="s">
        <v>927</v>
      </c>
      <c r="H211" s="164" t="s">
        <v>949</v>
      </c>
      <c r="I211" s="164" t="s">
        <v>950</v>
      </c>
      <c r="J211" s="164" t="s">
        <v>951</v>
      </c>
      <c r="K211" s="170" t="s">
        <v>887</v>
      </c>
      <c r="L211" s="164" t="s">
        <v>69</v>
      </c>
      <c r="M211" s="176" t="s">
        <v>931</v>
      </c>
    </row>
    <row r="212" ht="15.75" customHeight="1">
      <c r="A212" s="167" t="s">
        <v>9</v>
      </c>
      <c r="B212" s="168" t="s">
        <v>176</v>
      </c>
      <c r="C212" s="169" t="s">
        <v>952</v>
      </c>
      <c r="D212" s="164" t="s">
        <v>924</v>
      </c>
      <c r="E212" s="164" t="s">
        <v>947</v>
      </c>
      <c r="F212" s="164" t="s">
        <v>953</v>
      </c>
      <c r="G212" s="164" t="s">
        <v>891</v>
      </c>
      <c r="H212" s="164" t="s">
        <v>949</v>
      </c>
      <c r="I212" s="164" t="s">
        <v>954</v>
      </c>
      <c r="J212" s="164" t="s">
        <v>955</v>
      </c>
      <c r="K212" s="170" t="s">
        <v>887</v>
      </c>
      <c r="L212" s="164" t="s">
        <v>69</v>
      </c>
      <c r="M212" s="176" t="s">
        <v>931</v>
      </c>
    </row>
    <row r="213" ht="15.75" customHeight="1">
      <c r="A213" s="167" t="s">
        <v>9</v>
      </c>
      <c r="B213" s="168" t="s">
        <v>176</v>
      </c>
      <c r="C213" s="169" t="s">
        <v>956</v>
      </c>
      <c r="D213" s="164" t="s">
        <v>924</v>
      </c>
      <c r="E213" s="164" t="s">
        <v>947</v>
      </c>
      <c r="F213" s="164" t="s">
        <v>957</v>
      </c>
      <c r="G213" s="164" t="s">
        <v>320</v>
      </c>
      <c r="H213" s="164" t="s">
        <v>958</v>
      </c>
      <c r="I213" s="164" t="s">
        <v>959</v>
      </c>
      <c r="J213" s="164" t="s">
        <v>955</v>
      </c>
      <c r="K213" s="170" t="s">
        <v>887</v>
      </c>
      <c r="L213" s="164" t="s">
        <v>69</v>
      </c>
      <c r="M213" s="176" t="s">
        <v>931</v>
      </c>
    </row>
    <row r="214" ht="15.75" customHeight="1">
      <c r="A214" s="167" t="s">
        <v>9</v>
      </c>
      <c r="B214" s="168" t="s">
        <v>176</v>
      </c>
      <c r="C214" s="169" t="s">
        <v>960</v>
      </c>
      <c r="D214" s="174" t="s">
        <v>924</v>
      </c>
      <c r="E214" s="174" t="s">
        <v>947</v>
      </c>
      <c r="F214" s="174" t="s">
        <v>961</v>
      </c>
      <c r="G214" s="174" t="s">
        <v>320</v>
      </c>
      <c r="H214" s="174" t="s">
        <v>962</v>
      </c>
      <c r="I214" s="174" t="s">
        <v>963</v>
      </c>
      <c r="J214" s="174" t="s">
        <v>964</v>
      </c>
      <c r="K214" s="170" t="s">
        <v>887</v>
      </c>
      <c r="L214" s="174" t="s">
        <v>69</v>
      </c>
      <c r="M214" s="177" t="s">
        <v>931</v>
      </c>
    </row>
    <row r="215" ht="16.5" customHeight="1">
      <c r="A215" s="167" t="s">
        <v>9</v>
      </c>
      <c r="B215" s="168" t="s">
        <v>176</v>
      </c>
      <c r="C215" s="169" t="s">
        <v>965</v>
      </c>
      <c r="D215" s="164" t="s">
        <v>966</v>
      </c>
      <c r="E215" s="164" t="s">
        <v>967</v>
      </c>
      <c r="F215" s="164" t="s">
        <v>968</v>
      </c>
      <c r="G215" s="164" t="s">
        <v>969</v>
      </c>
      <c r="H215" s="164" t="s">
        <v>970</v>
      </c>
      <c r="I215" s="164" t="s">
        <v>971</v>
      </c>
      <c r="J215" s="164" t="s">
        <v>972</v>
      </c>
      <c r="K215" s="170" t="s">
        <v>887</v>
      </c>
      <c r="L215" s="170" t="s">
        <v>69</v>
      </c>
      <c r="M215" s="178" t="s">
        <v>973</v>
      </c>
    </row>
    <row r="216" ht="16.5" customHeight="1">
      <c r="A216" s="167" t="s">
        <v>9</v>
      </c>
      <c r="B216" s="168" t="s">
        <v>176</v>
      </c>
      <c r="C216" s="169" t="s">
        <v>974</v>
      </c>
      <c r="D216" s="164" t="s">
        <v>966</v>
      </c>
      <c r="E216" s="164" t="s">
        <v>975</v>
      </c>
      <c r="F216" s="164" t="s">
        <v>976</v>
      </c>
      <c r="G216" s="164" t="s">
        <v>977</v>
      </c>
      <c r="H216" s="164" t="s">
        <v>978</v>
      </c>
      <c r="I216" s="164" t="s">
        <v>979</v>
      </c>
      <c r="J216" s="164" t="s">
        <v>980</v>
      </c>
      <c r="K216" s="170" t="s">
        <v>887</v>
      </c>
      <c r="L216" s="170" t="s">
        <v>69</v>
      </c>
      <c r="M216" s="178" t="s">
        <v>981</v>
      </c>
    </row>
    <row r="217" ht="16.5" customHeight="1">
      <c r="A217" s="167" t="s">
        <v>9</v>
      </c>
      <c r="B217" s="168" t="s">
        <v>176</v>
      </c>
      <c r="C217" s="169" t="s">
        <v>982</v>
      </c>
      <c r="D217" s="164" t="s">
        <v>966</v>
      </c>
      <c r="E217" s="164" t="s">
        <v>983</v>
      </c>
      <c r="F217" s="164" t="s">
        <v>984</v>
      </c>
      <c r="G217" s="164" t="s">
        <v>985</v>
      </c>
      <c r="H217" s="164" t="s">
        <v>986</v>
      </c>
      <c r="I217" s="164" t="s">
        <v>987</v>
      </c>
      <c r="J217" s="164" t="s">
        <v>988</v>
      </c>
      <c r="K217" s="170" t="s">
        <v>887</v>
      </c>
      <c r="L217" s="170" t="s">
        <v>69</v>
      </c>
      <c r="M217" s="178" t="s">
        <v>989</v>
      </c>
    </row>
    <row r="218" ht="16.5" customHeight="1">
      <c r="A218" s="167" t="s">
        <v>9</v>
      </c>
      <c r="B218" s="168" t="s">
        <v>176</v>
      </c>
      <c r="C218" s="169" t="s">
        <v>990</v>
      </c>
      <c r="D218" s="164" t="s">
        <v>966</v>
      </c>
      <c r="E218" s="164" t="s">
        <v>991</v>
      </c>
      <c r="F218" s="164" t="s">
        <v>992</v>
      </c>
      <c r="G218" s="164" t="s">
        <v>993</v>
      </c>
      <c r="H218" s="164" t="s">
        <v>994</v>
      </c>
      <c r="I218" s="164" t="s">
        <v>995</v>
      </c>
      <c r="J218" s="164" t="s">
        <v>996</v>
      </c>
      <c r="K218" s="170" t="s">
        <v>887</v>
      </c>
      <c r="L218" s="170" t="s">
        <v>69</v>
      </c>
      <c r="M218" s="178" t="s">
        <v>997</v>
      </c>
    </row>
    <row r="219" ht="16.5" customHeight="1">
      <c r="A219" s="179" t="s">
        <v>10</v>
      </c>
      <c r="B219" s="168" t="s">
        <v>176</v>
      </c>
      <c r="C219" s="169" t="s">
        <v>39</v>
      </c>
      <c r="D219" s="164" t="s">
        <v>966</v>
      </c>
      <c r="E219" s="164" t="s">
        <v>998</v>
      </c>
      <c r="F219" s="164" t="s">
        <v>999</v>
      </c>
      <c r="G219" s="164" t="s">
        <v>1000</v>
      </c>
      <c r="H219" s="164" t="s">
        <v>1001</v>
      </c>
      <c r="I219" s="164" t="s">
        <v>1002</v>
      </c>
      <c r="J219" s="164" t="s">
        <v>1003</v>
      </c>
      <c r="K219" s="170" t="s">
        <v>46</v>
      </c>
      <c r="L219" s="170" t="s">
        <v>69</v>
      </c>
      <c r="M219" s="178" t="s">
        <v>1004</v>
      </c>
    </row>
    <row r="220" ht="16.5" customHeight="1">
      <c r="A220" s="180" t="s">
        <v>9</v>
      </c>
      <c r="B220" s="168" t="s">
        <v>176</v>
      </c>
      <c r="C220" s="169" t="s">
        <v>1005</v>
      </c>
      <c r="D220" s="164" t="s">
        <v>966</v>
      </c>
      <c r="E220" s="164" t="s">
        <v>1006</v>
      </c>
      <c r="F220" s="164" t="s">
        <v>1007</v>
      </c>
      <c r="G220" s="164" t="s">
        <v>1008</v>
      </c>
      <c r="H220" s="164" t="s">
        <v>1009</v>
      </c>
      <c r="I220" s="164" t="s">
        <v>1010</v>
      </c>
      <c r="J220" s="164" t="s">
        <v>988</v>
      </c>
      <c r="K220" s="170" t="s">
        <v>887</v>
      </c>
      <c r="L220" s="170" t="s">
        <v>69</v>
      </c>
      <c r="M220" s="178" t="s">
        <v>1011</v>
      </c>
    </row>
    <row r="221" ht="16.5" customHeight="1">
      <c r="A221" s="167" t="s">
        <v>9</v>
      </c>
      <c r="B221" s="168" t="s">
        <v>176</v>
      </c>
      <c r="C221" s="169" t="s">
        <v>1012</v>
      </c>
      <c r="D221" s="164" t="s">
        <v>966</v>
      </c>
      <c r="E221" s="164" t="s">
        <v>1013</v>
      </c>
      <c r="F221" s="164" t="s">
        <v>1014</v>
      </c>
      <c r="G221" s="164" t="s">
        <v>1015</v>
      </c>
      <c r="H221" s="164" t="s">
        <v>1016</v>
      </c>
      <c r="I221" s="164" t="s">
        <v>1017</v>
      </c>
      <c r="J221" s="164" t="s">
        <v>1018</v>
      </c>
      <c r="K221" s="170" t="s">
        <v>887</v>
      </c>
      <c r="L221" s="170" t="s">
        <v>69</v>
      </c>
      <c r="M221" s="178" t="s">
        <v>1019</v>
      </c>
    </row>
    <row r="222" ht="16.5" customHeight="1">
      <c r="A222" s="167" t="s">
        <v>9</v>
      </c>
      <c r="B222" s="168" t="s">
        <v>176</v>
      </c>
      <c r="C222" s="169" t="s">
        <v>1020</v>
      </c>
      <c r="D222" s="164" t="s">
        <v>966</v>
      </c>
      <c r="E222" s="164" t="s">
        <v>1021</v>
      </c>
      <c r="F222" s="164" t="s">
        <v>1022</v>
      </c>
      <c r="G222" s="164" t="s">
        <v>1023</v>
      </c>
      <c r="H222" s="164" t="s">
        <v>1024</v>
      </c>
      <c r="I222" s="164" t="s">
        <v>1010</v>
      </c>
      <c r="J222" s="164" t="s">
        <v>988</v>
      </c>
      <c r="K222" s="170" t="s">
        <v>887</v>
      </c>
      <c r="L222" s="170" t="s">
        <v>69</v>
      </c>
      <c r="M222" s="178" t="s">
        <v>1025</v>
      </c>
    </row>
    <row r="223" ht="16.5" customHeight="1">
      <c r="A223" s="167" t="s">
        <v>9</v>
      </c>
      <c r="B223" s="168" t="s">
        <v>176</v>
      </c>
      <c r="C223" s="169" t="s">
        <v>1026</v>
      </c>
      <c r="D223" s="164" t="s">
        <v>966</v>
      </c>
      <c r="E223" s="164" t="s">
        <v>1027</v>
      </c>
      <c r="F223" s="164" t="s">
        <v>1014</v>
      </c>
      <c r="G223" s="164" t="s">
        <v>1028</v>
      </c>
      <c r="H223" s="164" t="s">
        <v>1029</v>
      </c>
      <c r="I223" s="164" t="s">
        <v>1017</v>
      </c>
      <c r="J223" s="164" t="s">
        <v>1018</v>
      </c>
      <c r="K223" s="170" t="s">
        <v>887</v>
      </c>
      <c r="L223" s="170" t="s">
        <v>69</v>
      </c>
      <c r="M223" s="178" t="s">
        <v>1030</v>
      </c>
    </row>
    <row r="224" ht="16.5" customHeight="1">
      <c r="A224" s="167" t="s">
        <v>9</v>
      </c>
      <c r="B224" s="168" t="s">
        <v>176</v>
      </c>
      <c r="C224" s="169" t="s">
        <v>1031</v>
      </c>
      <c r="D224" s="164" t="s">
        <v>966</v>
      </c>
      <c r="E224" s="164" t="s">
        <v>1032</v>
      </c>
      <c r="F224" s="164" t="s">
        <v>1033</v>
      </c>
      <c r="G224" s="164" t="s">
        <v>1034</v>
      </c>
      <c r="H224" s="164" t="s">
        <v>1035</v>
      </c>
      <c r="I224" s="164" t="s">
        <v>1036</v>
      </c>
      <c r="J224" s="164" t="s">
        <v>1037</v>
      </c>
      <c r="K224" s="170" t="s">
        <v>887</v>
      </c>
      <c r="L224" s="170" t="s">
        <v>69</v>
      </c>
      <c r="M224" s="178" t="s">
        <v>1038</v>
      </c>
    </row>
    <row r="225" ht="16.5" customHeight="1">
      <c r="A225" s="167" t="s">
        <v>9</v>
      </c>
      <c r="B225" s="168" t="s">
        <v>176</v>
      </c>
      <c r="C225" s="169" t="s">
        <v>1039</v>
      </c>
      <c r="D225" s="164" t="s">
        <v>966</v>
      </c>
      <c r="E225" s="164" t="s">
        <v>1040</v>
      </c>
      <c r="F225" s="164" t="s">
        <v>1041</v>
      </c>
      <c r="G225" s="164" t="s">
        <v>1042</v>
      </c>
      <c r="H225" s="164" t="s">
        <v>1043</v>
      </c>
      <c r="I225" s="164" t="s">
        <v>1044</v>
      </c>
      <c r="J225" s="164" t="s">
        <v>1045</v>
      </c>
      <c r="K225" s="170" t="s">
        <v>887</v>
      </c>
      <c r="L225" s="170" t="s">
        <v>69</v>
      </c>
      <c r="M225" s="178" t="s">
        <v>1046</v>
      </c>
    </row>
    <row r="226" ht="16.5" customHeight="1">
      <c r="A226" s="167" t="s">
        <v>9</v>
      </c>
      <c r="B226" s="168" t="s">
        <v>176</v>
      </c>
      <c r="C226" s="169" t="s">
        <v>1047</v>
      </c>
      <c r="D226" s="164" t="s">
        <v>966</v>
      </c>
      <c r="E226" s="164" t="s">
        <v>1048</v>
      </c>
      <c r="F226" s="164" t="s">
        <v>1049</v>
      </c>
      <c r="G226" s="164" t="s">
        <v>1050</v>
      </c>
      <c r="H226" s="164" t="s">
        <v>1051</v>
      </c>
      <c r="I226" s="164" t="s">
        <v>1052</v>
      </c>
      <c r="J226" s="164" t="s">
        <v>1053</v>
      </c>
      <c r="K226" s="170" t="s">
        <v>887</v>
      </c>
      <c r="L226" s="170" t="s">
        <v>69</v>
      </c>
      <c r="M226" s="178" t="s">
        <v>1054</v>
      </c>
    </row>
    <row r="227" ht="16.5" customHeight="1">
      <c r="A227" s="167" t="s">
        <v>9</v>
      </c>
      <c r="B227" s="168" t="s">
        <v>176</v>
      </c>
      <c r="C227" s="169" t="s">
        <v>1055</v>
      </c>
      <c r="D227" s="164" t="s">
        <v>966</v>
      </c>
      <c r="E227" s="164" t="s">
        <v>1056</v>
      </c>
      <c r="F227" s="164" t="s">
        <v>1057</v>
      </c>
      <c r="G227" s="164" t="s">
        <v>1058</v>
      </c>
      <c r="H227" s="164" t="s">
        <v>1059</v>
      </c>
      <c r="I227" s="164" t="s">
        <v>1060</v>
      </c>
      <c r="J227" s="164" t="s">
        <v>1061</v>
      </c>
      <c r="K227" s="170" t="s">
        <v>887</v>
      </c>
      <c r="L227" s="170" t="s">
        <v>69</v>
      </c>
      <c r="M227" s="178" t="s">
        <v>1062</v>
      </c>
    </row>
    <row r="228" ht="16.5" customHeight="1">
      <c r="A228" s="167" t="s">
        <v>9</v>
      </c>
      <c r="B228" s="168" t="s">
        <v>176</v>
      </c>
      <c r="C228" s="169" t="s">
        <v>1063</v>
      </c>
      <c r="D228" s="164" t="s">
        <v>966</v>
      </c>
      <c r="E228" s="164" t="s">
        <v>1064</v>
      </c>
      <c r="F228" s="164" t="s">
        <v>1065</v>
      </c>
      <c r="G228" s="164" t="s">
        <v>1066</v>
      </c>
      <c r="H228" s="164" t="s">
        <v>1067</v>
      </c>
      <c r="I228" s="164" t="s">
        <v>1068</v>
      </c>
      <c r="J228" s="164" t="s">
        <v>1069</v>
      </c>
      <c r="K228" s="170" t="s">
        <v>887</v>
      </c>
      <c r="L228" s="170" t="s">
        <v>69</v>
      </c>
      <c r="M228" s="178" t="s">
        <v>1070</v>
      </c>
    </row>
    <row r="229" ht="16.5" customHeight="1">
      <c r="A229" s="167" t="s">
        <v>9</v>
      </c>
      <c r="B229" s="168" t="s">
        <v>176</v>
      </c>
      <c r="C229" s="169" t="s">
        <v>1071</v>
      </c>
      <c r="D229" s="164" t="s">
        <v>966</v>
      </c>
      <c r="E229" s="164" t="s">
        <v>1072</v>
      </c>
      <c r="F229" s="164" t="s">
        <v>1073</v>
      </c>
      <c r="G229" s="164" t="s">
        <v>1074</v>
      </c>
      <c r="H229" s="164" t="s">
        <v>1075</v>
      </c>
      <c r="I229" s="164" t="s">
        <v>1076</v>
      </c>
      <c r="J229" s="164" t="s">
        <v>1077</v>
      </c>
      <c r="K229" s="170" t="s">
        <v>887</v>
      </c>
      <c r="L229" s="170" t="s">
        <v>69</v>
      </c>
      <c r="M229" s="178" t="s">
        <v>1078</v>
      </c>
    </row>
    <row r="230" ht="16.5" customHeight="1">
      <c r="A230" s="167" t="s">
        <v>9</v>
      </c>
      <c r="B230" s="168" t="s">
        <v>176</v>
      </c>
      <c r="C230" s="169" t="s">
        <v>1079</v>
      </c>
      <c r="D230" s="174" t="s">
        <v>966</v>
      </c>
      <c r="E230" s="174" t="s">
        <v>1080</v>
      </c>
      <c r="F230" s="174" t="s">
        <v>1081</v>
      </c>
      <c r="G230" s="174" t="s">
        <v>1082</v>
      </c>
      <c r="H230" s="174" t="s">
        <v>1083</v>
      </c>
      <c r="I230" s="174" t="s">
        <v>1084</v>
      </c>
      <c r="J230" s="174" t="s">
        <v>1077</v>
      </c>
      <c r="K230" s="170" t="s">
        <v>887</v>
      </c>
      <c r="L230" s="170" t="s">
        <v>69</v>
      </c>
      <c r="M230" s="178" t="s">
        <v>1085</v>
      </c>
    </row>
    <row r="231" ht="16.5" customHeight="1">
      <c r="A231" s="161" t="s">
        <v>9</v>
      </c>
      <c r="B231" s="162" t="s">
        <v>176</v>
      </c>
      <c r="C231" s="163" t="s">
        <v>1086</v>
      </c>
      <c r="D231" s="164" t="s">
        <v>1087</v>
      </c>
      <c r="E231" s="164" t="s">
        <v>1088</v>
      </c>
      <c r="F231" s="164" t="s">
        <v>1089</v>
      </c>
      <c r="G231" s="164" t="s">
        <v>1090</v>
      </c>
      <c r="H231" s="164" t="s">
        <v>1091</v>
      </c>
      <c r="I231" s="164" t="s">
        <v>1092</v>
      </c>
      <c r="J231" s="164" t="s">
        <v>1092</v>
      </c>
      <c r="K231" s="170" t="s">
        <v>887</v>
      </c>
      <c r="L231" s="170" t="s">
        <v>69</v>
      </c>
      <c r="M231" s="178" t="s">
        <v>1093</v>
      </c>
    </row>
    <row r="232" ht="16.5" customHeight="1">
      <c r="A232" s="161" t="s">
        <v>9</v>
      </c>
      <c r="B232" s="162" t="s">
        <v>176</v>
      </c>
      <c r="C232" s="163" t="s">
        <v>1094</v>
      </c>
      <c r="D232" s="164" t="s">
        <v>1087</v>
      </c>
      <c r="E232" s="164" t="s">
        <v>1088</v>
      </c>
      <c r="F232" s="164" t="s">
        <v>1095</v>
      </c>
      <c r="G232" s="164" t="s">
        <v>1096</v>
      </c>
      <c r="H232" s="164" t="s">
        <v>1091</v>
      </c>
      <c r="I232" s="164" t="s">
        <v>1097</v>
      </c>
      <c r="J232" s="164" t="s">
        <v>1097</v>
      </c>
      <c r="K232" s="170" t="s">
        <v>887</v>
      </c>
      <c r="L232" s="170" t="s">
        <v>69</v>
      </c>
      <c r="M232" s="178" t="s">
        <v>1093</v>
      </c>
    </row>
    <row r="233" ht="16.5" customHeight="1">
      <c r="A233" s="161" t="s">
        <v>9</v>
      </c>
      <c r="B233" s="162" t="s">
        <v>176</v>
      </c>
      <c r="C233" s="163" t="s">
        <v>1098</v>
      </c>
      <c r="D233" s="164" t="s">
        <v>1087</v>
      </c>
      <c r="E233" s="164" t="s">
        <v>1088</v>
      </c>
      <c r="F233" s="164" t="s">
        <v>1099</v>
      </c>
      <c r="G233" s="164" t="s">
        <v>1100</v>
      </c>
      <c r="H233" s="164" t="s">
        <v>1091</v>
      </c>
      <c r="I233" s="164" t="s">
        <v>1101</v>
      </c>
      <c r="J233" s="164" t="s">
        <v>1101</v>
      </c>
      <c r="K233" s="170" t="s">
        <v>887</v>
      </c>
      <c r="L233" s="170" t="s">
        <v>69</v>
      </c>
      <c r="M233" s="178" t="s">
        <v>1093</v>
      </c>
    </row>
    <row r="234" ht="16.5" customHeight="1">
      <c r="A234" s="161" t="s">
        <v>9</v>
      </c>
      <c r="B234" s="162" t="s">
        <v>176</v>
      </c>
      <c r="C234" s="163" t="s">
        <v>1102</v>
      </c>
      <c r="D234" s="164" t="s">
        <v>1087</v>
      </c>
      <c r="E234" s="164" t="s">
        <v>1088</v>
      </c>
      <c r="F234" s="164" t="s">
        <v>1103</v>
      </c>
      <c r="G234" s="164" t="s">
        <v>1104</v>
      </c>
      <c r="H234" s="164" t="s">
        <v>1091</v>
      </c>
      <c r="I234" s="164" t="s">
        <v>1105</v>
      </c>
      <c r="J234" s="164" t="s">
        <v>1105</v>
      </c>
      <c r="K234" s="170" t="s">
        <v>887</v>
      </c>
      <c r="L234" s="170" t="s">
        <v>69</v>
      </c>
      <c r="M234" s="178" t="s">
        <v>1093</v>
      </c>
    </row>
    <row r="235" ht="16.5" customHeight="1">
      <c r="A235" s="161" t="s">
        <v>9</v>
      </c>
      <c r="B235" s="162" t="s">
        <v>176</v>
      </c>
      <c r="C235" s="163" t="s">
        <v>1106</v>
      </c>
      <c r="D235" s="164" t="s">
        <v>1087</v>
      </c>
      <c r="E235" s="164" t="s">
        <v>1088</v>
      </c>
      <c r="F235" s="164" t="s">
        <v>1107</v>
      </c>
      <c r="G235" s="164" t="s">
        <v>1108</v>
      </c>
      <c r="H235" s="164" t="s">
        <v>1091</v>
      </c>
      <c r="I235" s="164" t="s">
        <v>1109</v>
      </c>
      <c r="J235" s="164" t="s">
        <v>1109</v>
      </c>
      <c r="K235" s="170" t="s">
        <v>887</v>
      </c>
      <c r="L235" s="170" t="s">
        <v>69</v>
      </c>
      <c r="M235" s="178" t="s">
        <v>1093</v>
      </c>
    </row>
    <row r="236" ht="16.5" customHeight="1">
      <c r="A236" s="161" t="s">
        <v>9</v>
      </c>
      <c r="B236" s="162" t="s">
        <v>176</v>
      </c>
      <c r="C236" s="163" t="s">
        <v>1110</v>
      </c>
      <c r="D236" s="164" t="s">
        <v>1087</v>
      </c>
      <c r="E236" s="164" t="s">
        <v>1088</v>
      </c>
      <c r="F236" s="164" t="s">
        <v>895</v>
      </c>
      <c r="G236" s="164" t="s">
        <v>1111</v>
      </c>
      <c r="H236" s="164" t="s">
        <v>1091</v>
      </c>
      <c r="I236" s="164" t="s">
        <v>1112</v>
      </c>
      <c r="J236" s="164" t="s">
        <v>1112</v>
      </c>
      <c r="K236" s="170" t="s">
        <v>887</v>
      </c>
      <c r="L236" s="170" t="s">
        <v>69</v>
      </c>
      <c r="M236" s="178" t="s">
        <v>1093</v>
      </c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C4"/>
    <mergeCell ref="B8:C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3" width="14.43"/>
    <col customWidth="1" min="4" max="4" width="16.14"/>
    <col customWidth="1" min="5" max="5" width="13.0"/>
    <col customWidth="1" min="6" max="6" width="23.14"/>
    <col customWidth="1" min="7" max="7" width="16.57"/>
    <col customWidth="1" min="8" max="8" width="34.43"/>
    <col customWidth="1" min="9" max="9" width="40.71"/>
    <col customWidth="1" min="10" max="10" width="87.57"/>
    <col customWidth="1" min="11" max="11" width="16.29"/>
    <col customWidth="1" min="12" max="12" width="27.29"/>
  </cols>
  <sheetData>
    <row r="1" ht="29.25" customHeight="1">
      <c r="B1" s="24" t="s">
        <v>19</v>
      </c>
      <c r="C1" s="3"/>
      <c r="D1" s="33" t="s">
        <v>20</v>
      </c>
      <c r="E1" s="34" t="s">
        <v>17</v>
      </c>
      <c r="F1" s="32" t="s">
        <v>21</v>
      </c>
      <c r="G1" s="35" t="s">
        <v>20</v>
      </c>
      <c r="H1" s="35" t="s">
        <v>17</v>
      </c>
      <c r="I1" s="36" t="s">
        <v>1113</v>
      </c>
      <c r="J1" s="36"/>
    </row>
    <row r="2" ht="15.75" customHeight="1">
      <c r="B2" s="5"/>
      <c r="C2" s="6"/>
      <c r="D2" s="37">
        <v>200.0</v>
      </c>
      <c r="E2" s="28">
        <f>COUNTIF(A:A,200)</f>
        <v>47</v>
      </c>
      <c r="G2" s="38" t="s">
        <v>23</v>
      </c>
      <c r="H2" s="39">
        <f>COUNTIF(A:A, "Pending")</f>
        <v>4</v>
      </c>
      <c r="I2" s="36"/>
      <c r="J2" s="36"/>
    </row>
    <row r="3" ht="15.75" customHeight="1">
      <c r="B3" s="5"/>
      <c r="C3" s="6"/>
      <c r="D3" s="37">
        <v>201.0</v>
      </c>
      <c r="E3" s="28">
        <f>COUNTIF(A:A,201)</f>
        <v>11</v>
      </c>
      <c r="G3" s="36"/>
      <c r="H3" s="36"/>
    </row>
    <row r="4" ht="15.75" customHeight="1">
      <c r="B4" s="5"/>
      <c r="C4" s="6"/>
      <c r="D4" s="40" t="s">
        <v>9</v>
      </c>
      <c r="E4" s="28">
        <f>COUNTIF(A:A,"Pass")</f>
        <v>3</v>
      </c>
      <c r="G4" s="181" t="s">
        <v>1114</v>
      </c>
      <c r="H4" s="16"/>
    </row>
    <row r="5" ht="15.75" customHeight="1">
      <c r="B5" s="5"/>
      <c r="C5" s="6"/>
      <c r="D5" s="40">
        <v>404.0</v>
      </c>
      <c r="E5" s="28">
        <f>COUNTIF(A:A,404)</f>
        <v>5</v>
      </c>
      <c r="G5" s="40" t="s">
        <v>9</v>
      </c>
      <c r="H5" s="39">
        <f>E2+E3+E4+E5</f>
        <v>66</v>
      </c>
    </row>
    <row r="6" ht="15.75" customHeight="1">
      <c r="B6" s="30"/>
      <c r="C6" s="31"/>
      <c r="D6" s="41">
        <v>500.0</v>
      </c>
      <c r="E6" s="28">
        <f>COUNTIF(A:A,500)</f>
        <v>6</v>
      </c>
      <c r="G6" s="41" t="s">
        <v>1115</v>
      </c>
      <c r="H6" s="39">
        <f>E6</f>
        <v>6</v>
      </c>
    </row>
    <row r="7" ht="15.75" customHeight="1"/>
    <row r="8" ht="15.75" customHeight="1">
      <c r="A8" s="182"/>
      <c r="B8" s="183" t="s">
        <v>1116</v>
      </c>
      <c r="C8" s="108"/>
      <c r="D8" s="108"/>
      <c r="E8" s="184"/>
      <c r="F8" s="184"/>
      <c r="G8" s="185"/>
      <c r="H8" s="185"/>
      <c r="I8" s="186"/>
      <c r="J8" s="187"/>
      <c r="K8" s="185"/>
      <c r="L8" s="187"/>
      <c r="M8" s="188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</row>
    <row r="9" ht="15.75" customHeight="1">
      <c r="A9" s="190" t="s">
        <v>20</v>
      </c>
      <c r="B9" s="190" t="s">
        <v>166</v>
      </c>
      <c r="C9" s="191" t="s">
        <v>28</v>
      </c>
      <c r="D9" s="191" t="s">
        <v>1117</v>
      </c>
      <c r="E9" s="191" t="s">
        <v>1118</v>
      </c>
      <c r="F9" s="191" t="s">
        <v>1119</v>
      </c>
      <c r="G9" s="191" t="s">
        <v>169</v>
      </c>
      <c r="H9" s="191" t="s">
        <v>1120</v>
      </c>
      <c r="I9" s="191" t="s">
        <v>1121</v>
      </c>
      <c r="J9" s="192" t="s">
        <v>1122</v>
      </c>
      <c r="K9" s="193"/>
      <c r="L9" s="194"/>
      <c r="M9" s="194"/>
      <c r="N9" s="194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</row>
    <row r="10" ht="15.75" customHeight="1">
      <c r="A10" s="37">
        <v>200.0</v>
      </c>
      <c r="B10" s="195" t="s">
        <v>176</v>
      </c>
      <c r="C10" s="196" t="s">
        <v>1123</v>
      </c>
      <c r="D10" s="197" t="s">
        <v>1124</v>
      </c>
      <c r="E10" s="197" t="s">
        <v>1125</v>
      </c>
      <c r="F10" s="197" t="s">
        <v>1126</v>
      </c>
      <c r="G10" s="197" t="s">
        <v>180</v>
      </c>
      <c r="H10" s="197" t="s">
        <v>1127</v>
      </c>
      <c r="I10" s="198" t="s">
        <v>1128</v>
      </c>
      <c r="J10" s="199" t="s">
        <v>1129</v>
      </c>
      <c r="K10" s="200"/>
      <c r="L10" s="187"/>
      <c r="M10" s="187"/>
      <c r="N10" s="187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</row>
    <row r="11" ht="15.75" customHeight="1">
      <c r="A11" s="201">
        <v>201.0</v>
      </c>
      <c r="B11" s="195" t="s">
        <v>176</v>
      </c>
      <c r="C11" s="196" t="s">
        <v>1130</v>
      </c>
      <c r="D11" s="197" t="s">
        <v>1124</v>
      </c>
      <c r="E11" s="197" t="s">
        <v>1125</v>
      </c>
      <c r="F11" s="197" t="s">
        <v>1131</v>
      </c>
      <c r="G11" s="197" t="s">
        <v>180</v>
      </c>
      <c r="H11" s="197" t="s">
        <v>1132</v>
      </c>
      <c r="I11" s="202" t="s">
        <v>1133</v>
      </c>
      <c r="J11" s="199" t="s">
        <v>1134</v>
      </c>
      <c r="K11" s="200"/>
      <c r="L11" s="187"/>
      <c r="M11" s="187"/>
      <c r="N11" s="187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</row>
    <row r="12" ht="15.75" customHeight="1">
      <c r="A12" s="37">
        <v>200.0</v>
      </c>
      <c r="B12" s="195" t="s">
        <v>176</v>
      </c>
      <c r="C12" s="196" t="s">
        <v>1135</v>
      </c>
      <c r="D12" s="197" t="s">
        <v>1124</v>
      </c>
      <c r="E12" s="197" t="s">
        <v>1136</v>
      </c>
      <c r="F12" s="197" t="s">
        <v>1137</v>
      </c>
      <c r="G12" s="197" t="s">
        <v>180</v>
      </c>
      <c r="H12" s="197" t="s">
        <v>1138</v>
      </c>
      <c r="I12" s="202" t="s">
        <v>1139</v>
      </c>
      <c r="J12" s="199" t="s">
        <v>1140</v>
      </c>
      <c r="K12" s="200"/>
      <c r="L12" s="187"/>
      <c r="M12" s="187"/>
      <c r="N12" s="187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</row>
    <row r="13" ht="15.75" customHeight="1">
      <c r="A13" s="37">
        <v>200.0</v>
      </c>
      <c r="B13" s="195" t="s">
        <v>176</v>
      </c>
      <c r="C13" s="196" t="s">
        <v>1141</v>
      </c>
      <c r="D13" s="197" t="s">
        <v>1124</v>
      </c>
      <c r="E13" s="197" t="s">
        <v>1125</v>
      </c>
      <c r="F13" s="197" t="s">
        <v>1142</v>
      </c>
      <c r="G13" s="197" t="s">
        <v>180</v>
      </c>
      <c r="H13" s="197" t="s">
        <v>1143</v>
      </c>
      <c r="I13" s="202" t="s">
        <v>1144</v>
      </c>
      <c r="J13" s="199" t="s">
        <v>1145</v>
      </c>
      <c r="K13" s="200"/>
      <c r="L13" s="187"/>
      <c r="M13" s="187"/>
      <c r="N13" s="187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</row>
    <row r="14" ht="15.75" customHeight="1">
      <c r="A14" s="37">
        <v>200.0</v>
      </c>
      <c r="B14" s="195" t="s">
        <v>176</v>
      </c>
      <c r="C14" s="196" t="s">
        <v>1146</v>
      </c>
      <c r="D14" s="197" t="s">
        <v>1124</v>
      </c>
      <c r="E14" s="197" t="s">
        <v>1136</v>
      </c>
      <c r="F14" s="197" t="s">
        <v>1147</v>
      </c>
      <c r="G14" s="197" t="s">
        <v>180</v>
      </c>
      <c r="H14" s="197" t="s">
        <v>1148</v>
      </c>
      <c r="I14" s="202" t="s">
        <v>1144</v>
      </c>
      <c r="J14" s="199" t="s">
        <v>1149</v>
      </c>
      <c r="K14" s="200"/>
      <c r="L14" s="187"/>
      <c r="M14" s="187"/>
      <c r="N14" s="187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</row>
    <row r="15" ht="15.75" customHeight="1">
      <c r="A15" s="37">
        <v>200.0</v>
      </c>
      <c r="B15" s="195" t="s">
        <v>176</v>
      </c>
      <c r="C15" s="196" t="s">
        <v>1150</v>
      </c>
      <c r="D15" s="197" t="s">
        <v>1124</v>
      </c>
      <c r="E15" s="197" t="s">
        <v>1136</v>
      </c>
      <c r="F15" s="203" t="s">
        <v>1151</v>
      </c>
      <c r="G15" s="197" t="s">
        <v>180</v>
      </c>
      <c r="H15" s="197" t="s">
        <v>1152</v>
      </c>
      <c r="I15" s="202" t="s">
        <v>1144</v>
      </c>
      <c r="J15" s="199" t="s">
        <v>1153</v>
      </c>
      <c r="K15" s="200"/>
      <c r="L15" s="187"/>
      <c r="M15" s="187"/>
      <c r="N15" s="187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</row>
    <row r="16" ht="15.75" customHeight="1">
      <c r="A16" s="37">
        <v>200.0</v>
      </c>
      <c r="B16" s="195" t="s">
        <v>176</v>
      </c>
      <c r="C16" s="196" t="s">
        <v>1154</v>
      </c>
      <c r="D16" s="197" t="s">
        <v>1124</v>
      </c>
      <c r="E16" s="197" t="s">
        <v>1155</v>
      </c>
      <c r="F16" s="203" t="s">
        <v>1151</v>
      </c>
      <c r="G16" s="197" t="s">
        <v>180</v>
      </c>
      <c r="H16" s="197" t="s">
        <v>1156</v>
      </c>
      <c r="I16" s="202" t="s">
        <v>1144</v>
      </c>
      <c r="J16" s="199" t="s">
        <v>1157</v>
      </c>
      <c r="K16" s="200"/>
      <c r="L16" s="187"/>
      <c r="M16" s="187"/>
      <c r="N16" s="187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</row>
    <row r="17" ht="15.75" customHeight="1">
      <c r="A17" s="37">
        <v>200.0</v>
      </c>
      <c r="B17" s="195" t="s">
        <v>176</v>
      </c>
      <c r="C17" s="196" t="s">
        <v>1158</v>
      </c>
      <c r="D17" s="197" t="s">
        <v>1124</v>
      </c>
      <c r="E17" s="197" t="s">
        <v>1125</v>
      </c>
      <c r="F17" s="197" t="s">
        <v>1159</v>
      </c>
      <c r="G17" s="197" t="s">
        <v>180</v>
      </c>
      <c r="H17" s="197" t="s">
        <v>1160</v>
      </c>
      <c r="I17" s="202" t="s">
        <v>1144</v>
      </c>
      <c r="J17" s="204"/>
      <c r="K17" s="200"/>
      <c r="L17" s="187"/>
      <c r="M17" s="187"/>
      <c r="N17" s="187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</row>
    <row r="18" ht="15.75" customHeight="1">
      <c r="A18" s="37">
        <v>200.0</v>
      </c>
      <c r="B18" s="195" t="s">
        <v>176</v>
      </c>
      <c r="C18" s="196" t="s">
        <v>1161</v>
      </c>
      <c r="D18" s="197" t="s">
        <v>1162</v>
      </c>
      <c r="E18" s="205" t="s">
        <v>1136</v>
      </c>
      <c r="F18" s="197" t="s">
        <v>1163</v>
      </c>
      <c r="G18" s="197" t="s">
        <v>180</v>
      </c>
      <c r="H18" s="197" t="s">
        <v>1164</v>
      </c>
      <c r="I18" s="202" t="s">
        <v>1165</v>
      </c>
      <c r="J18" s="199" t="s">
        <v>1166</v>
      </c>
      <c r="K18" s="206"/>
      <c r="L18" s="187"/>
      <c r="M18" s="187"/>
      <c r="N18" s="187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</row>
    <row r="19" ht="15.75" customHeight="1">
      <c r="A19" s="37">
        <v>201.0</v>
      </c>
      <c r="B19" s="195" t="s">
        <v>176</v>
      </c>
      <c r="C19" s="196" t="s">
        <v>1167</v>
      </c>
      <c r="D19" s="197" t="s">
        <v>1162</v>
      </c>
      <c r="E19" s="205" t="s">
        <v>1125</v>
      </c>
      <c r="F19" s="197" t="s">
        <v>1163</v>
      </c>
      <c r="G19" s="197" t="s">
        <v>180</v>
      </c>
      <c r="H19" s="197" t="s">
        <v>1168</v>
      </c>
      <c r="I19" s="202" t="s">
        <v>1169</v>
      </c>
      <c r="J19" s="199" t="s">
        <v>1170</v>
      </c>
      <c r="K19" s="206"/>
      <c r="L19" s="187"/>
      <c r="M19" s="187"/>
      <c r="N19" s="187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</row>
    <row r="20" ht="15.75" customHeight="1">
      <c r="A20" s="37">
        <v>200.0</v>
      </c>
      <c r="B20" s="195" t="s">
        <v>176</v>
      </c>
      <c r="C20" s="196" t="s">
        <v>1171</v>
      </c>
      <c r="D20" s="197" t="s">
        <v>1162</v>
      </c>
      <c r="E20" s="205" t="s">
        <v>1136</v>
      </c>
      <c r="F20" s="197" t="s">
        <v>1163</v>
      </c>
      <c r="G20" s="197" t="s">
        <v>180</v>
      </c>
      <c r="H20" s="197" t="s">
        <v>1172</v>
      </c>
      <c r="I20" s="202" t="s">
        <v>1173</v>
      </c>
      <c r="J20" s="199" t="s">
        <v>1174</v>
      </c>
      <c r="K20" s="206"/>
      <c r="L20" s="187"/>
      <c r="M20" s="187"/>
      <c r="N20" s="187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</row>
    <row r="21" ht="15.75" customHeight="1">
      <c r="A21" s="37">
        <v>200.0</v>
      </c>
      <c r="B21" s="195" t="s">
        <v>176</v>
      </c>
      <c r="C21" s="196" t="s">
        <v>1175</v>
      </c>
      <c r="D21" s="197" t="s">
        <v>1162</v>
      </c>
      <c r="E21" s="205" t="s">
        <v>1155</v>
      </c>
      <c r="F21" s="197" t="s">
        <v>1163</v>
      </c>
      <c r="G21" s="197" t="s">
        <v>180</v>
      </c>
      <c r="H21" s="197" t="s">
        <v>1176</v>
      </c>
      <c r="I21" s="198" t="s">
        <v>1177</v>
      </c>
      <c r="J21" s="199" t="s">
        <v>1157</v>
      </c>
      <c r="K21" s="206"/>
      <c r="L21" s="187"/>
      <c r="M21" s="187"/>
      <c r="N21" s="187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</row>
    <row r="22" ht="15.75" customHeight="1">
      <c r="A22" s="37">
        <v>200.0</v>
      </c>
      <c r="B22" s="195" t="s">
        <v>176</v>
      </c>
      <c r="C22" s="196" t="s">
        <v>1178</v>
      </c>
      <c r="D22" s="197" t="s">
        <v>1162</v>
      </c>
      <c r="E22" s="205" t="s">
        <v>1179</v>
      </c>
      <c r="F22" s="197" t="s">
        <v>1163</v>
      </c>
      <c r="G22" s="197" t="s">
        <v>180</v>
      </c>
      <c r="H22" s="197" t="s">
        <v>1180</v>
      </c>
      <c r="I22" s="202" t="s">
        <v>1173</v>
      </c>
      <c r="J22" s="199" t="s">
        <v>1181</v>
      </c>
      <c r="K22" s="206"/>
      <c r="L22" s="187"/>
      <c r="M22" s="187"/>
      <c r="N22" s="187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</row>
    <row r="23" ht="15.75" customHeight="1">
      <c r="A23" s="207" t="s">
        <v>9</v>
      </c>
      <c r="B23" s="195" t="s">
        <v>176</v>
      </c>
      <c r="C23" s="196" t="s">
        <v>1182</v>
      </c>
      <c r="D23" s="197" t="s">
        <v>1162</v>
      </c>
      <c r="E23" s="197" t="s">
        <v>1125</v>
      </c>
      <c r="F23" s="197" t="s">
        <v>1163</v>
      </c>
      <c r="G23" s="197" t="s">
        <v>1183</v>
      </c>
      <c r="H23" s="197" t="s">
        <v>1184</v>
      </c>
      <c r="I23" s="202" t="s">
        <v>1185</v>
      </c>
      <c r="J23" s="199" t="s">
        <v>1186</v>
      </c>
      <c r="K23" s="200"/>
      <c r="L23" s="187"/>
      <c r="M23" s="187"/>
      <c r="N23" s="187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</row>
    <row r="24" ht="15.75" customHeight="1">
      <c r="A24" s="41">
        <v>500.0</v>
      </c>
      <c r="B24" s="195" t="s">
        <v>176</v>
      </c>
      <c r="C24" s="196" t="s">
        <v>50</v>
      </c>
      <c r="D24" s="197" t="s">
        <v>1162</v>
      </c>
      <c r="E24" s="197" t="s">
        <v>1136</v>
      </c>
      <c r="F24" s="197" t="s">
        <v>1163</v>
      </c>
      <c r="G24" s="197" t="s">
        <v>1183</v>
      </c>
      <c r="H24" s="197" t="s">
        <v>1187</v>
      </c>
      <c r="I24" s="202" t="s">
        <v>84</v>
      </c>
      <c r="J24" s="199" t="s">
        <v>86</v>
      </c>
      <c r="K24" s="200"/>
      <c r="L24" s="187"/>
      <c r="M24" s="187"/>
      <c r="N24" s="187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</row>
    <row r="25" ht="15.75" customHeight="1">
      <c r="A25" s="207">
        <v>404.0</v>
      </c>
      <c r="B25" s="195" t="s">
        <v>176</v>
      </c>
      <c r="C25" s="196" t="s">
        <v>1188</v>
      </c>
      <c r="D25" s="197" t="s">
        <v>1162</v>
      </c>
      <c r="E25" s="197" t="s">
        <v>1155</v>
      </c>
      <c r="F25" s="197" t="s">
        <v>1163</v>
      </c>
      <c r="G25" s="197" t="s">
        <v>1183</v>
      </c>
      <c r="H25" s="197" t="s">
        <v>1187</v>
      </c>
      <c r="I25" s="202" t="s">
        <v>84</v>
      </c>
      <c r="J25" s="208" t="s">
        <v>1189</v>
      </c>
      <c r="K25" s="200"/>
      <c r="L25" s="187"/>
      <c r="M25" s="187"/>
      <c r="N25" s="187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</row>
    <row r="26" ht="15.75" customHeight="1">
      <c r="A26" s="207">
        <v>404.0</v>
      </c>
      <c r="B26" s="195" t="s">
        <v>176</v>
      </c>
      <c r="C26" s="196" t="s">
        <v>1190</v>
      </c>
      <c r="D26" s="197" t="s">
        <v>1162</v>
      </c>
      <c r="E26" s="197" t="s">
        <v>1179</v>
      </c>
      <c r="F26" s="197" t="s">
        <v>1163</v>
      </c>
      <c r="G26" s="197" t="s">
        <v>1183</v>
      </c>
      <c r="H26" s="197" t="s">
        <v>1187</v>
      </c>
      <c r="I26" s="202" t="s">
        <v>84</v>
      </c>
      <c r="J26" s="199" t="s">
        <v>1191</v>
      </c>
      <c r="K26" s="200"/>
      <c r="L26" s="187"/>
      <c r="M26" s="187"/>
      <c r="N26" s="187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</row>
    <row r="27" ht="15.75" customHeight="1">
      <c r="A27" s="37">
        <v>200.0</v>
      </c>
      <c r="B27" s="195" t="s">
        <v>176</v>
      </c>
      <c r="C27" s="196" t="s">
        <v>1192</v>
      </c>
      <c r="D27" s="197" t="s">
        <v>1193</v>
      </c>
      <c r="E27" s="205" t="s">
        <v>1136</v>
      </c>
      <c r="F27" s="197" t="s">
        <v>1194</v>
      </c>
      <c r="G27" s="197" t="s">
        <v>180</v>
      </c>
      <c r="H27" s="197" t="s">
        <v>1164</v>
      </c>
      <c r="I27" s="202" t="s">
        <v>1195</v>
      </c>
      <c r="J27" s="199" t="s">
        <v>1196</v>
      </c>
      <c r="K27" s="200"/>
      <c r="L27" s="187"/>
      <c r="M27" s="187"/>
      <c r="N27" s="187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</row>
    <row r="28" ht="15.75" customHeight="1">
      <c r="A28" s="37">
        <v>201.0</v>
      </c>
      <c r="B28" s="195" t="s">
        <v>176</v>
      </c>
      <c r="C28" s="196" t="s">
        <v>1197</v>
      </c>
      <c r="D28" s="197" t="s">
        <v>1193</v>
      </c>
      <c r="E28" s="205" t="s">
        <v>1125</v>
      </c>
      <c r="F28" s="197" t="s">
        <v>1194</v>
      </c>
      <c r="G28" s="197" t="s">
        <v>180</v>
      </c>
      <c r="H28" s="197" t="s">
        <v>1168</v>
      </c>
      <c r="I28" s="202" t="s">
        <v>1198</v>
      </c>
      <c r="J28" s="199" t="s">
        <v>1199</v>
      </c>
      <c r="K28" s="200"/>
      <c r="L28" s="187"/>
      <c r="M28" s="187"/>
      <c r="N28" s="187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</row>
    <row r="29" ht="15.75" customHeight="1">
      <c r="A29" s="37">
        <v>200.0</v>
      </c>
      <c r="B29" s="195" t="s">
        <v>176</v>
      </c>
      <c r="C29" s="196" t="s">
        <v>1200</v>
      </c>
      <c r="D29" s="197" t="s">
        <v>1193</v>
      </c>
      <c r="E29" s="205" t="s">
        <v>1136</v>
      </c>
      <c r="F29" s="197" t="s">
        <v>1194</v>
      </c>
      <c r="G29" s="197" t="s">
        <v>180</v>
      </c>
      <c r="H29" s="197" t="s">
        <v>1172</v>
      </c>
      <c r="I29" s="202" t="s">
        <v>1201</v>
      </c>
      <c r="J29" s="199" t="s">
        <v>1202</v>
      </c>
      <c r="K29" s="200"/>
      <c r="L29" s="187"/>
      <c r="M29" s="187"/>
      <c r="N29" s="187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</row>
    <row r="30" ht="15.75" customHeight="1">
      <c r="A30" s="37">
        <v>200.0</v>
      </c>
      <c r="B30" s="195" t="s">
        <v>176</v>
      </c>
      <c r="C30" s="196" t="s">
        <v>1203</v>
      </c>
      <c r="D30" s="197" t="s">
        <v>1193</v>
      </c>
      <c r="E30" s="205" t="s">
        <v>1155</v>
      </c>
      <c r="F30" s="197" t="s">
        <v>1194</v>
      </c>
      <c r="G30" s="197" t="s">
        <v>180</v>
      </c>
      <c r="H30" s="197" t="s">
        <v>1176</v>
      </c>
      <c r="I30" s="198" t="s">
        <v>1204</v>
      </c>
      <c r="J30" s="199" t="s">
        <v>1205</v>
      </c>
      <c r="K30" s="200"/>
      <c r="L30" s="187"/>
      <c r="M30" s="187"/>
      <c r="N30" s="187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</row>
    <row r="31" ht="15.75" customHeight="1">
      <c r="A31" s="37">
        <v>200.0</v>
      </c>
      <c r="B31" s="195" t="s">
        <v>176</v>
      </c>
      <c r="C31" s="196" t="s">
        <v>1206</v>
      </c>
      <c r="D31" s="197" t="s">
        <v>1193</v>
      </c>
      <c r="E31" s="205" t="s">
        <v>1179</v>
      </c>
      <c r="F31" s="197" t="s">
        <v>1194</v>
      </c>
      <c r="G31" s="197" t="s">
        <v>180</v>
      </c>
      <c r="H31" s="197" t="s">
        <v>1180</v>
      </c>
      <c r="I31" s="202" t="s">
        <v>1201</v>
      </c>
      <c r="J31" s="199" t="s">
        <v>1207</v>
      </c>
      <c r="K31" s="200"/>
      <c r="L31" s="187"/>
      <c r="M31" s="187"/>
      <c r="N31" s="187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</row>
    <row r="32" ht="15.75" customHeight="1">
      <c r="A32" s="37">
        <v>200.0</v>
      </c>
      <c r="B32" s="195" t="s">
        <v>176</v>
      </c>
      <c r="C32" s="196" t="s">
        <v>1208</v>
      </c>
      <c r="D32" s="197" t="s">
        <v>1193</v>
      </c>
      <c r="E32" s="197" t="s">
        <v>1209</v>
      </c>
      <c r="F32" s="197" t="s">
        <v>1194</v>
      </c>
      <c r="G32" s="197" t="s">
        <v>1183</v>
      </c>
      <c r="H32" s="197" t="s">
        <v>1210</v>
      </c>
      <c r="I32" s="202" t="s">
        <v>320</v>
      </c>
      <c r="J32" s="199" t="s">
        <v>1211</v>
      </c>
      <c r="K32" s="200"/>
      <c r="L32" s="187"/>
      <c r="M32" s="187"/>
      <c r="N32" s="187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</row>
    <row r="33" ht="15.75" customHeight="1">
      <c r="A33" s="207" t="s">
        <v>9</v>
      </c>
      <c r="B33" s="195" t="s">
        <v>176</v>
      </c>
      <c r="C33" s="196" t="s">
        <v>1212</v>
      </c>
      <c r="D33" s="197" t="s">
        <v>1193</v>
      </c>
      <c r="E33" s="197" t="s">
        <v>1125</v>
      </c>
      <c r="F33" s="197" t="s">
        <v>1194</v>
      </c>
      <c r="G33" s="197" t="s">
        <v>1183</v>
      </c>
      <c r="H33" s="197" t="s">
        <v>1184</v>
      </c>
      <c r="I33" s="202" t="s">
        <v>1213</v>
      </c>
      <c r="J33" s="199" t="s">
        <v>1214</v>
      </c>
      <c r="K33" s="200"/>
      <c r="L33" s="187"/>
      <c r="M33" s="187"/>
      <c r="N33" s="187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</row>
    <row r="34" ht="15.75" customHeight="1">
      <c r="A34" s="41">
        <v>500.0</v>
      </c>
      <c r="B34" s="195" t="s">
        <v>176</v>
      </c>
      <c r="C34" s="196" t="s">
        <v>53</v>
      </c>
      <c r="D34" s="197" t="s">
        <v>1193</v>
      </c>
      <c r="E34" s="197" t="s">
        <v>1136</v>
      </c>
      <c r="F34" s="197" t="s">
        <v>1194</v>
      </c>
      <c r="G34" s="197" t="s">
        <v>1183</v>
      </c>
      <c r="H34" s="197" t="s">
        <v>1187</v>
      </c>
      <c r="I34" s="202" t="s">
        <v>87</v>
      </c>
      <c r="J34" s="199" t="s">
        <v>1215</v>
      </c>
      <c r="K34" s="200"/>
      <c r="L34" s="187"/>
      <c r="M34" s="187"/>
      <c r="N34" s="187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</row>
    <row r="35" ht="15.75" customHeight="1">
      <c r="A35" s="207">
        <v>404.0</v>
      </c>
      <c r="B35" s="195" t="s">
        <v>176</v>
      </c>
      <c r="C35" s="196" t="s">
        <v>1216</v>
      </c>
      <c r="D35" s="197" t="s">
        <v>1193</v>
      </c>
      <c r="E35" s="197" t="s">
        <v>1155</v>
      </c>
      <c r="F35" s="197" t="s">
        <v>1194</v>
      </c>
      <c r="G35" s="197" t="s">
        <v>1183</v>
      </c>
      <c r="H35" s="197" t="s">
        <v>1187</v>
      </c>
      <c r="I35" s="202" t="s">
        <v>87</v>
      </c>
      <c r="J35" s="199" t="s">
        <v>1217</v>
      </c>
      <c r="K35" s="200"/>
      <c r="L35" s="187"/>
      <c r="M35" s="187"/>
      <c r="N35" s="187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</row>
    <row r="36" ht="15.75" customHeight="1">
      <c r="A36" s="41">
        <v>500.0</v>
      </c>
      <c r="B36" s="195" t="s">
        <v>176</v>
      </c>
      <c r="C36" s="196" t="s">
        <v>55</v>
      </c>
      <c r="D36" s="197" t="s">
        <v>1193</v>
      </c>
      <c r="E36" s="197" t="s">
        <v>1179</v>
      </c>
      <c r="F36" s="197" t="s">
        <v>1194</v>
      </c>
      <c r="G36" s="197" t="s">
        <v>1183</v>
      </c>
      <c r="H36" s="197" t="s">
        <v>1187</v>
      </c>
      <c r="I36" s="202" t="s">
        <v>87</v>
      </c>
      <c r="J36" s="199" t="s">
        <v>1218</v>
      </c>
      <c r="K36" s="200"/>
      <c r="L36" s="187"/>
      <c r="M36" s="187"/>
      <c r="N36" s="187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</row>
    <row r="37" ht="15.75" customHeight="1">
      <c r="A37" s="37">
        <v>200.0</v>
      </c>
      <c r="B37" s="195" t="s">
        <v>176</v>
      </c>
      <c r="C37" s="196" t="s">
        <v>1219</v>
      </c>
      <c r="D37" s="197" t="s">
        <v>1220</v>
      </c>
      <c r="E37" s="205" t="s">
        <v>1136</v>
      </c>
      <c r="F37" s="197" t="s">
        <v>1221</v>
      </c>
      <c r="G37" s="197" t="s">
        <v>180</v>
      </c>
      <c r="H37" s="197" t="s">
        <v>1164</v>
      </c>
      <c r="I37" s="202" t="s">
        <v>320</v>
      </c>
      <c r="J37" s="199" t="s">
        <v>1222</v>
      </c>
      <c r="K37" s="200"/>
      <c r="L37" s="187"/>
      <c r="M37" s="187"/>
      <c r="N37" s="187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</row>
    <row r="38" ht="15.75" customHeight="1">
      <c r="A38" s="207">
        <v>201.0</v>
      </c>
      <c r="B38" s="195" t="s">
        <v>176</v>
      </c>
      <c r="C38" s="196" t="s">
        <v>1223</v>
      </c>
      <c r="D38" s="197" t="s">
        <v>1220</v>
      </c>
      <c r="E38" s="205" t="s">
        <v>1125</v>
      </c>
      <c r="F38" s="197" t="s">
        <v>1221</v>
      </c>
      <c r="G38" s="197" t="s">
        <v>180</v>
      </c>
      <c r="H38" s="197" t="s">
        <v>1168</v>
      </c>
      <c r="I38" s="202" t="s">
        <v>1224</v>
      </c>
      <c r="J38" s="199" t="s">
        <v>1225</v>
      </c>
      <c r="K38" s="200"/>
      <c r="L38" s="187"/>
      <c r="M38" s="187"/>
      <c r="N38" s="187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</row>
    <row r="39" ht="15.75" customHeight="1">
      <c r="A39" s="37">
        <v>200.0</v>
      </c>
      <c r="B39" s="195" t="s">
        <v>176</v>
      </c>
      <c r="C39" s="196" t="s">
        <v>1226</v>
      </c>
      <c r="D39" s="197" t="s">
        <v>1220</v>
      </c>
      <c r="E39" s="205" t="s">
        <v>1136</v>
      </c>
      <c r="F39" s="197" t="s">
        <v>1221</v>
      </c>
      <c r="G39" s="197" t="s">
        <v>180</v>
      </c>
      <c r="H39" s="197" t="s">
        <v>1172</v>
      </c>
      <c r="I39" s="202" t="s">
        <v>1227</v>
      </c>
      <c r="J39" s="199" t="s">
        <v>1228</v>
      </c>
      <c r="K39" s="200"/>
      <c r="L39" s="187"/>
      <c r="M39" s="187"/>
      <c r="N39" s="187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</row>
    <row r="40" ht="15.75" customHeight="1">
      <c r="A40" s="41">
        <v>500.0</v>
      </c>
      <c r="B40" s="195" t="s">
        <v>176</v>
      </c>
      <c r="C40" s="196" t="s">
        <v>57</v>
      </c>
      <c r="D40" s="197" t="s">
        <v>1220</v>
      </c>
      <c r="E40" s="205" t="s">
        <v>1155</v>
      </c>
      <c r="F40" s="197" t="s">
        <v>1221</v>
      </c>
      <c r="G40" s="197" t="s">
        <v>180</v>
      </c>
      <c r="H40" s="197" t="s">
        <v>1176</v>
      </c>
      <c r="I40" s="198" t="s">
        <v>90</v>
      </c>
      <c r="J40" s="209" t="s">
        <v>91</v>
      </c>
      <c r="K40" s="200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</row>
    <row r="41" ht="15.75" customHeight="1">
      <c r="A41" s="37">
        <v>200.0</v>
      </c>
      <c r="B41" s="195" t="s">
        <v>176</v>
      </c>
      <c r="C41" s="196" t="s">
        <v>1229</v>
      </c>
      <c r="D41" s="197" t="s">
        <v>1220</v>
      </c>
      <c r="E41" s="205" t="s">
        <v>1179</v>
      </c>
      <c r="F41" s="197" t="s">
        <v>1221</v>
      </c>
      <c r="G41" s="197" t="s">
        <v>180</v>
      </c>
      <c r="H41" s="197" t="s">
        <v>1180</v>
      </c>
      <c r="I41" s="202" t="s">
        <v>1227</v>
      </c>
      <c r="J41" s="209" t="s">
        <v>1230</v>
      </c>
      <c r="K41" s="200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</row>
    <row r="42" ht="15.75" customHeight="1">
      <c r="A42" s="210" t="s">
        <v>9</v>
      </c>
      <c r="B42" s="195" t="s">
        <v>176</v>
      </c>
      <c r="C42" s="196" t="s">
        <v>1231</v>
      </c>
      <c r="D42" s="197" t="s">
        <v>1220</v>
      </c>
      <c r="E42" s="197" t="s">
        <v>1125</v>
      </c>
      <c r="F42" s="197" t="s">
        <v>1221</v>
      </c>
      <c r="G42" s="197" t="s">
        <v>1183</v>
      </c>
      <c r="H42" s="197" t="s">
        <v>1184</v>
      </c>
      <c r="I42" s="211" t="s">
        <v>1232</v>
      </c>
      <c r="J42" s="209" t="s">
        <v>1233</v>
      </c>
      <c r="K42" s="212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</row>
    <row r="43" ht="15.75" customHeight="1">
      <c r="A43" s="213">
        <v>500.0</v>
      </c>
      <c r="B43" s="195" t="s">
        <v>176</v>
      </c>
      <c r="C43" s="196" t="s">
        <v>59</v>
      </c>
      <c r="D43" s="197" t="s">
        <v>1220</v>
      </c>
      <c r="E43" s="197" t="s">
        <v>1136</v>
      </c>
      <c r="F43" s="197" t="s">
        <v>1221</v>
      </c>
      <c r="G43" s="197" t="s">
        <v>1183</v>
      </c>
      <c r="H43" s="197" t="s">
        <v>1187</v>
      </c>
      <c r="I43" s="211" t="s">
        <v>92</v>
      </c>
      <c r="J43" s="209" t="s">
        <v>93</v>
      </c>
      <c r="K43" s="212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</row>
    <row r="44" ht="15.75" customHeight="1">
      <c r="A44" s="210">
        <v>404.0</v>
      </c>
      <c r="B44" s="195" t="s">
        <v>176</v>
      </c>
      <c r="C44" s="196" t="s">
        <v>1234</v>
      </c>
      <c r="D44" s="197" t="s">
        <v>1220</v>
      </c>
      <c r="E44" s="197" t="s">
        <v>1155</v>
      </c>
      <c r="F44" s="197" t="s">
        <v>1221</v>
      </c>
      <c r="G44" s="197" t="s">
        <v>1183</v>
      </c>
      <c r="H44" s="197" t="s">
        <v>1187</v>
      </c>
      <c r="I44" s="211" t="s">
        <v>92</v>
      </c>
      <c r="J44" s="209" t="s">
        <v>1235</v>
      </c>
      <c r="K44" s="212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</row>
    <row r="45" ht="15.75" customHeight="1">
      <c r="A45" s="210">
        <v>404.0</v>
      </c>
      <c r="B45" s="195" t="s">
        <v>176</v>
      </c>
      <c r="C45" s="196" t="s">
        <v>1236</v>
      </c>
      <c r="D45" s="197" t="s">
        <v>1220</v>
      </c>
      <c r="E45" s="197" t="s">
        <v>1179</v>
      </c>
      <c r="F45" s="197" t="s">
        <v>1221</v>
      </c>
      <c r="G45" s="197" t="s">
        <v>1183</v>
      </c>
      <c r="H45" s="197" t="s">
        <v>1187</v>
      </c>
      <c r="I45" s="211" t="s">
        <v>92</v>
      </c>
      <c r="J45" s="209" t="s">
        <v>1235</v>
      </c>
      <c r="K45" s="212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</row>
    <row r="46" ht="15.75" customHeight="1">
      <c r="A46" s="214" t="s">
        <v>23</v>
      </c>
      <c r="B46" s="195" t="s">
        <v>176</v>
      </c>
      <c r="C46" s="196" t="s">
        <v>1237</v>
      </c>
      <c r="D46" s="205" t="s">
        <v>1238</v>
      </c>
      <c r="E46" s="205" t="s">
        <v>1136</v>
      </c>
      <c r="F46" s="205" t="s">
        <v>1239</v>
      </c>
      <c r="G46" s="197" t="s">
        <v>180</v>
      </c>
      <c r="H46" s="197" t="s">
        <v>1164</v>
      </c>
      <c r="I46" s="211" t="s">
        <v>320</v>
      </c>
      <c r="J46" s="209" t="s">
        <v>1211</v>
      </c>
      <c r="K46" s="212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</row>
    <row r="47" ht="15.75" customHeight="1">
      <c r="A47" s="213">
        <v>500.0</v>
      </c>
      <c r="B47" s="215" t="s">
        <v>1240</v>
      </c>
      <c r="C47" s="196" t="s">
        <v>61</v>
      </c>
      <c r="D47" s="205" t="s">
        <v>1238</v>
      </c>
      <c r="E47" s="205" t="s">
        <v>1125</v>
      </c>
      <c r="F47" s="205" t="s">
        <v>1239</v>
      </c>
      <c r="G47" s="197" t="s">
        <v>180</v>
      </c>
      <c r="H47" s="197" t="s">
        <v>1168</v>
      </c>
      <c r="I47" s="211" t="s">
        <v>1241</v>
      </c>
      <c r="J47" s="209" t="s">
        <v>91</v>
      </c>
      <c r="K47" s="212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</row>
    <row r="48" ht="15.75" customHeight="1">
      <c r="A48" s="214" t="s">
        <v>23</v>
      </c>
      <c r="B48" s="195" t="s">
        <v>176</v>
      </c>
      <c r="C48" s="196" t="s">
        <v>1242</v>
      </c>
      <c r="D48" s="205" t="s">
        <v>1238</v>
      </c>
      <c r="E48" s="205" t="s">
        <v>1136</v>
      </c>
      <c r="F48" s="205" t="s">
        <v>1239</v>
      </c>
      <c r="G48" s="197" t="s">
        <v>180</v>
      </c>
      <c r="H48" s="197" t="s">
        <v>1172</v>
      </c>
      <c r="I48" s="216"/>
      <c r="J48" s="217"/>
      <c r="K48" s="212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</row>
    <row r="49" ht="15.75" customHeight="1">
      <c r="A49" s="214" t="s">
        <v>23</v>
      </c>
      <c r="B49" s="195" t="s">
        <v>176</v>
      </c>
      <c r="C49" s="196" t="s">
        <v>1243</v>
      </c>
      <c r="D49" s="205" t="s">
        <v>1238</v>
      </c>
      <c r="E49" s="205" t="s">
        <v>1155</v>
      </c>
      <c r="F49" s="205" t="s">
        <v>1239</v>
      </c>
      <c r="G49" s="197" t="s">
        <v>180</v>
      </c>
      <c r="H49" s="197" t="s">
        <v>1176</v>
      </c>
      <c r="I49" s="216"/>
      <c r="J49" s="217"/>
      <c r="K49" s="212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</row>
    <row r="50" ht="15.75" customHeight="1">
      <c r="A50" s="214" t="s">
        <v>23</v>
      </c>
      <c r="B50" s="195" t="s">
        <v>176</v>
      </c>
      <c r="C50" s="196" t="s">
        <v>1244</v>
      </c>
      <c r="D50" s="205" t="s">
        <v>1238</v>
      </c>
      <c r="E50" s="205" t="s">
        <v>1179</v>
      </c>
      <c r="F50" s="205" t="s">
        <v>1239</v>
      </c>
      <c r="G50" s="197" t="s">
        <v>180</v>
      </c>
      <c r="H50" s="197" t="s">
        <v>1180</v>
      </c>
      <c r="I50" s="216"/>
      <c r="J50" s="217"/>
      <c r="K50" s="212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</row>
    <row r="51" ht="15.75" customHeight="1">
      <c r="A51" s="37">
        <v>200.0</v>
      </c>
      <c r="B51" s="195" t="s">
        <v>176</v>
      </c>
      <c r="C51" s="196" t="s">
        <v>1245</v>
      </c>
      <c r="D51" s="205" t="s">
        <v>1246</v>
      </c>
      <c r="E51" s="205" t="s">
        <v>1136</v>
      </c>
      <c r="F51" s="205" t="s">
        <v>1247</v>
      </c>
      <c r="G51" s="197" t="s">
        <v>180</v>
      </c>
      <c r="H51" s="218"/>
      <c r="I51" s="211" t="s">
        <v>320</v>
      </c>
      <c r="J51" s="209" t="s">
        <v>1211</v>
      </c>
      <c r="K51" s="212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</row>
    <row r="52" ht="15.75" customHeight="1">
      <c r="A52" s="207">
        <v>201.0</v>
      </c>
      <c r="B52" s="195" t="s">
        <v>176</v>
      </c>
      <c r="C52" s="196" t="s">
        <v>1248</v>
      </c>
      <c r="D52" s="205" t="s">
        <v>1246</v>
      </c>
      <c r="E52" s="205" t="s">
        <v>1125</v>
      </c>
      <c r="F52" s="205" t="s">
        <v>1247</v>
      </c>
      <c r="G52" s="197" t="s">
        <v>180</v>
      </c>
      <c r="H52" s="218"/>
      <c r="I52" s="216"/>
      <c r="J52" s="217"/>
      <c r="K52" s="212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</row>
    <row r="53" ht="15.75" customHeight="1">
      <c r="A53" s="37">
        <v>200.0</v>
      </c>
      <c r="B53" s="195" t="s">
        <v>176</v>
      </c>
      <c r="C53" s="196" t="s">
        <v>1249</v>
      </c>
      <c r="D53" s="205" t="s">
        <v>1246</v>
      </c>
      <c r="E53" s="205" t="s">
        <v>1136</v>
      </c>
      <c r="F53" s="205" t="s">
        <v>1247</v>
      </c>
      <c r="G53" s="197" t="s">
        <v>180</v>
      </c>
      <c r="H53" s="218"/>
      <c r="I53" s="216"/>
      <c r="J53" s="217"/>
      <c r="K53" s="212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</row>
    <row r="54" ht="15.75" customHeight="1">
      <c r="A54" s="37">
        <v>200.0</v>
      </c>
      <c r="B54" s="195" t="s">
        <v>176</v>
      </c>
      <c r="C54" s="196" t="s">
        <v>1250</v>
      </c>
      <c r="D54" s="205" t="s">
        <v>1246</v>
      </c>
      <c r="E54" s="205" t="s">
        <v>1155</v>
      </c>
      <c r="F54" s="205" t="s">
        <v>1247</v>
      </c>
      <c r="G54" s="197" t="s">
        <v>180</v>
      </c>
      <c r="H54" s="218"/>
      <c r="I54" s="216"/>
      <c r="J54" s="217"/>
      <c r="K54" s="212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</row>
    <row r="55" ht="15.75" customHeight="1">
      <c r="A55" s="37">
        <v>200.0</v>
      </c>
      <c r="B55" s="195" t="s">
        <v>176</v>
      </c>
      <c r="C55" s="196" t="s">
        <v>1251</v>
      </c>
      <c r="D55" s="205" t="s">
        <v>1246</v>
      </c>
      <c r="E55" s="205" t="s">
        <v>1179</v>
      </c>
      <c r="F55" s="205" t="s">
        <v>1247</v>
      </c>
      <c r="G55" s="197" t="s">
        <v>180</v>
      </c>
      <c r="H55" s="218"/>
      <c r="I55" s="216"/>
      <c r="J55" s="217"/>
      <c r="K55" s="212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</row>
    <row r="56" ht="15.75" customHeight="1">
      <c r="A56" s="37">
        <v>200.0</v>
      </c>
      <c r="B56" s="195" t="s">
        <v>176</v>
      </c>
      <c r="C56" s="196" t="s">
        <v>1252</v>
      </c>
      <c r="D56" s="205" t="s">
        <v>1253</v>
      </c>
      <c r="E56" s="205" t="s">
        <v>1136</v>
      </c>
      <c r="F56" s="218"/>
      <c r="G56" s="197" t="s">
        <v>180</v>
      </c>
      <c r="H56" s="218"/>
      <c r="I56" s="216"/>
      <c r="J56" s="217"/>
      <c r="K56" s="212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</row>
    <row r="57" ht="15.75" customHeight="1">
      <c r="A57" s="207">
        <v>201.0</v>
      </c>
      <c r="B57" s="195" t="s">
        <v>176</v>
      </c>
      <c r="C57" s="196" t="s">
        <v>1254</v>
      </c>
      <c r="D57" s="205" t="s">
        <v>1253</v>
      </c>
      <c r="E57" s="205" t="s">
        <v>1125</v>
      </c>
      <c r="F57" s="218"/>
      <c r="G57" s="197" t="s">
        <v>180</v>
      </c>
      <c r="H57" s="218"/>
      <c r="I57" s="216"/>
      <c r="J57" s="217"/>
      <c r="K57" s="212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</row>
    <row r="58" ht="15.75" customHeight="1">
      <c r="A58" s="37">
        <v>200.0</v>
      </c>
      <c r="B58" s="195" t="s">
        <v>176</v>
      </c>
      <c r="C58" s="196" t="s">
        <v>1255</v>
      </c>
      <c r="D58" s="205" t="s">
        <v>1253</v>
      </c>
      <c r="E58" s="205" t="s">
        <v>1136</v>
      </c>
      <c r="F58" s="218"/>
      <c r="G58" s="197" t="s">
        <v>180</v>
      </c>
      <c r="H58" s="218"/>
      <c r="I58" s="216"/>
      <c r="J58" s="217"/>
      <c r="K58" s="212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</row>
    <row r="59" ht="15.75" customHeight="1">
      <c r="A59" s="37">
        <v>200.0</v>
      </c>
      <c r="B59" s="195" t="s">
        <v>176</v>
      </c>
      <c r="C59" s="196" t="s">
        <v>1256</v>
      </c>
      <c r="D59" s="205" t="s">
        <v>1253</v>
      </c>
      <c r="E59" s="205" t="s">
        <v>1155</v>
      </c>
      <c r="F59" s="218"/>
      <c r="G59" s="197" t="s">
        <v>180</v>
      </c>
      <c r="H59" s="218"/>
      <c r="I59" s="216"/>
      <c r="J59" s="217"/>
      <c r="K59" s="212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</row>
    <row r="60" ht="15.75" customHeight="1">
      <c r="A60" s="37">
        <v>200.0</v>
      </c>
      <c r="B60" s="195" t="s">
        <v>176</v>
      </c>
      <c r="C60" s="196" t="s">
        <v>1257</v>
      </c>
      <c r="D60" s="205" t="s">
        <v>1253</v>
      </c>
      <c r="E60" s="205" t="s">
        <v>1179</v>
      </c>
      <c r="F60" s="218"/>
      <c r="G60" s="197" t="s">
        <v>180</v>
      </c>
      <c r="H60" s="218"/>
      <c r="I60" s="216"/>
      <c r="J60" s="217"/>
      <c r="K60" s="212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</row>
    <row r="61" ht="15.75" customHeight="1">
      <c r="A61" s="37">
        <v>200.0</v>
      </c>
      <c r="B61" s="195" t="s">
        <v>176</v>
      </c>
      <c r="C61" s="196" t="s">
        <v>1258</v>
      </c>
      <c r="D61" s="205" t="s">
        <v>1259</v>
      </c>
      <c r="E61" s="205" t="s">
        <v>1136</v>
      </c>
      <c r="F61" s="218"/>
      <c r="G61" s="197" t="s">
        <v>180</v>
      </c>
      <c r="H61" s="218"/>
      <c r="I61" s="216"/>
      <c r="J61" s="217"/>
      <c r="K61" s="212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</row>
    <row r="62" ht="15.75" customHeight="1">
      <c r="A62" s="207">
        <v>201.0</v>
      </c>
      <c r="B62" s="195" t="s">
        <v>176</v>
      </c>
      <c r="C62" s="196" t="s">
        <v>1260</v>
      </c>
      <c r="D62" s="205" t="s">
        <v>1259</v>
      </c>
      <c r="E62" s="205" t="s">
        <v>1125</v>
      </c>
      <c r="F62" s="218"/>
      <c r="G62" s="197" t="s">
        <v>180</v>
      </c>
      <c r="H62" s="218"/>
      <c r="I62" s="216"/>
      <c r="J62" s="217"/>
      <c r="K62" s="212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</row>
    <row r="63" ht="15.75" customHeight="1">
      <c r="A63" s="37">
        <v>200.0</v>
      </c>
      <c r="B63" s="195" t="s">
        <v>176</v>
      </c>
      <c r="C63" s="196" t="s">
        <v>1261</v>
      </c>
      <c r="D63" s="205" t="s">
        <v>1259</v>
      </c>
      <c r="E63" s="205" t="s">
        <v>1136</v>
      </c>
      <c r="F63" s="218"/>
      <c r="G63" s="197" t="s">
        <v>180</v>
      </c>
      <c r="H63" s="218"/>
      <c r="I63" s="216"/>
      <c r="J63" s="217"/>
      <c r="K63" s="212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</row>
    <row r="64" ht="15.75" customHeight="1">
      <c r="A64" s="37">
        <v>200.0</v>
      </c>
      <c r="B64" s="195" t="s">
        <v>176</v>
      </c>
      <c r="C64" s="196" t="s">
        <v>1262</v>
      </c>
      <c r="D64" s="205" t="s">
        <v>1259</v>
      </c>
      <c r="E64" s="205" t="s">
        <v>1155</v>
      </c>
      <c r="F64" s="218"/>
      <c r="G64" s="197" t="s">
        <v>180</v>
      </c>
      <c r="H64" s="218"/>
      <c r="I64" s="216"/>
      <c r="J64" s="217"/>
      <c r="K64" s="212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</row>
    <row r="65" ht="15.75" customHeight="1">
      <c r="A65" s="37">
        <v>200.0</v>
      </c>
      <c r="B65" s="195" t="s">
        <v>176</v>
      </c>
      <c r="C65" s="196" t="s">
        <v>1263</v>
      </c>
      <c r="D65" s="205" t="s">
        <v>1259</v>
      </c>
      <c r="E65" s="205" t="s">
        <v>1179</v>
      </c>
      <c r="F65" s="218"/>
      <c r="G65" s="197" t="s">
        <v>180</v>
      </c>
      <c r="H65" s="218"/>
      <c r="I65" s="216"/>
      <c r="J65" s="217"/>
      <c r="K65" s="212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</row>
    <row r="66" ht="15.75" customHeight="1">
      <c r="A66" s="37">
        <v>200.0</v>
      </c>
      <c r="B66" s="195" t="s">
        <v>176</v>
      </c>
      <c r="C66" s="196" t="s">
        <v>1264</v>
      </c>
      <c r="D66" s="205" t="s">
        <v>1265</v>
      </c>
      <c r="E66" s="205" t="s">
        <v>1136</v>
      </c>
      <c r="F66" s="218"/>
      <c r="G66" s="197" t="s">
        <v>180</v>
      </c>
      <c r="H66" s="218"/>
      <c r="I66" s="216"/>
      <c r="J66" s="217"/>
      <c r="K66" s="212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</row>
    <row r="67" ht="15.75" customHeight="1">
      <c r="A67" s="207">
        <v>201.0</v>
      </c>
      <c r="B67" s="195" t="s">
        <v>176</v>
      </c>
      <c r="C67" s="196" t="s">
        <v>1266</v>
      </c>
      <c r="D67" s="205" t="s">
        <v>1265</v>
      </c>
      <c r="E67" s="205" t="s">
        <v>1125</v>
      </c>
      <c r="F67" s="218"/>
      <c r="G67" s="197" t="s">
        <v>180</v>
      </c>
      <c r="H67" s="218"/>
      <c r="I67" s="216"/>
      <c r="J67" s="217"/>
      <c r="K67" s="212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</row>
    <row r="68" ht="15.75" customHeight="1">
      <c r="A68" s="37">
        <v>200.0</v>
      </c>
      <c r="B68" s="195" t="s">
        <v>176</v>
      </c>
      <c r="C68" s="196" t="s">
        <v>1267</v>
      </c>
      <c r="D68" s="205" t="s">
        <v>1265</v>
      </c>
      <c r="E68" s="205" t="s">
        <v>1136</v>
      </c>
      <c r="F68" s="218"/>
      <c r="G68" s="197" t="s">
        <v>180</v>
      </c>
      <c r="H68" s="218"/>
      <c r="I68" s="216"/>
      <c r="J68" s="217"/>
      <c r="K68" s="212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</row>
    <row r="69" ht="15.75" customHeight="1">
      <c r="A69" s="37">
        <v>200.0</v>
      </c>
      <c r="B69" s="195" t="s">
        <v>176</v>
      </c>
      <c r="C69" s="196" t="s">
        <v>1268</v>
      </c>
      <c r="D69" s="205" t="s">
        <v>1265</v>
      </c>
      <c r="E69" s="205" t="s">
        <v>1155</v>
      </c>
      <c r="F69" s="218"/>
      <c r="G69" s="197" t="s">
        <v>180</v>
      </c>
      <c r="H69" s="218"/>
      <c r="I69" s="216"/>
      <c r="J69" s="217"/>
      <c r="K69" s="212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</row>
    <row r="70" ht="15.75" customHeight="1">
      <c r="A70" s="37">
        <v>200.0</v>
      </c>
      <c r="B70" s="195" t="s">
        <v>176</v>
      </c>
      <c r="C70" s="196" t="s">
        <v>1269</v>
      </c>
      <c r="D70" s="205" t="s">
        <v>1265</v>
      </c>
      <c r="E70" s="205" t="s">
        <v>1179</v>
      </c>
      <c r="F70" s="218"/>
      <c r="G70" s="197" t="s">
        <v>180</v>
      </c>
      <c r="H70" s="218"/>
      <c r="I70" s="216"/>
      <c r="J70" s="217"/>
      <c r="K70" s="212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</row>
    <row r="71" ht="15.75" customHeight="1">
      <c r="A71" s="37">
        <v>200.0</v>
      </c>
      <c r="B71" s="195" t="s">
        <v>176</v>
      </c>
      <c r="C71" s="196" t="s">
        <v>1270</v>
      </c>
      <c r="D71" s="205" t="s">
        <v>1271</v>
      </c>
      <c r="E71" s="205" t="s">
        <v>1136</v>
      </c>
      <c r="F71" s="218"/>
      <c r="G71" s="197" t="s">
        <v>180</v>
      </c>
      <c r="H71" s="218"/>
      <c r="I71" s="216"/>
      <c r="J71" s="217"/>
      <c r="K71" s="212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</row>
    <row r="72" ht="15.75" customHeight="1">
      <c r="A72" s="207">
        <v>201.0</v>
      </c>
      <c r="B72" s="195" t="s">
        <v>176</v>
      </c>
      <c r="C72" s="196" t="s">
        <v>1272</v>
      </c>
      <c r="D72" s="205" t="s">
        <v>1271</v>
      </c>
      <c r="E72" s="205" t="s">
        <v>1125</v>
      </c>
      <c r="F72" s="218"/>
      <c r="G72" s="197" t="s">
        <v>180</v>
      </c>
      <c r="H72" s="218"/>
      <c r="I72" s="216"/>
      <c r="J72" s="217"/>
      <c r="K72" s="212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</row>
    <row r="73" ht="15.75" customHeight="1">
      <c r="A73" s="37">
        <v>200.0</v>
      </c>
      <c r="B73" s="195" t="s">
        <v>176</v>
      </c>
      <c r="C73" s="196" t="s">
        <v>1273</v>
      </c>
      <c r="D73" s="205" t="s">
        <v>1271</v>
      </c>
      <c r="E73" s="205" t="s">
        <v>1136</v>
      </c>
      <c r="F73" s="218"/>
      <c r="G73" s="197" t="s">
        <v>180</v>
      </c>
      <c r="H73" s="218"/>
      <c r="I73" s="216"/>
      <c r="J73" s="217"/>
      <c r="K73" s="212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</row>
    <row r="74" ht="15.75" customHeight="1">
      <c r="A74" s="37">
        <v>200.0</v>
      </c>
      <c r="B74" s="195" t="s">
        <v>176</v>
      </c>
      <c r="C74" s="196" t="s">
        <v>1274</v>
      </c>
      <c r="D74" s="205" t="s">
        <v>1271</v>
      </c>
      <c r="E74" s="205" t="s">
        <v>1155</v>
      </c>
      <c r="F74" s="218"/>
      <c r="G74" s="197" t="s">
        <v>180</v>
      </c>
      <c r="H74" s="218"/>
      <c r="I74" s="216"/>
      <c r="J74" s="217"/>
      <c r="K74" s="212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</row>
    <row r="75" ht="15.75" customHeight="1">
      <c r="A75" s="37">
        <v>200.0</v>
      </c>
      <c r="B75" s="195" t="s">
        <v>176</v>
      </c>
      <c r="C75" s="196" t="s">
        <v>1275</v>
      </c>
      <c r="D75" s="205" t="s">
        <v>1271</v>
      </c>
      <c r="E75" s="205" t="s">
        <v>1179</v>
      </c>
      <c r="F75" s="218"/>
      <c r="G75" s="197" t="s">
        <v>180</v>
      </c>
      <c r="H75" s="218"/>
      <c r="I75" s="216"/>
      <c r="J75" s="217"/>
      <c r="K75" s="212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</row>
    <row r="76" ht="15.75" customHeight="1">
      <c r="A76" s="37">
        <v>200.0</v>
      </c>
      <c r="B76" s="195" t="s">
        <v>176</v>
      </c>
      <c r="C76" s="196" t="s">
        <v>1276</v>
      </c>
      <c r="D76" s="205" t="s">
        <v>1277</v>
      </c>
      <c r="E76" s="205" t="s">
        <v>1136</v>
      </c>
      <c r="F76" s="218"/>
      <c r="G76" s="197" t="s">
        <v>180</v>
      </c>
      <c r="H76" s="218"/>
      <c r="I76" s="216"/>
      <c r="J76" s="217"/>
      <c r="K76" s="212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</row>
    <row r="77" ht="15.75" customHeight="1">
      <c r="A77" s="207">
        <v>201.0</v>
      </c>
      <c r="B77" s="195" t="s">
        <v>176</v>
      </c>
      <c r="C77" s="196" t="s">
        <v>1278</v>
      </c>
      <c r="D77" s="205" t="s">
        <v>1277</v>
      </c>
      <c r="E77" s="205" t="s">
        <v>1125</v>
      </c>
      <c r="F77" s="218"/>
      <c r="G77" s="197" t="s">
        <v>180</v>
      </c>
      <c r="H77" s="218"/>
      <c r="I77" s="216"/>
      <c r="J77" s="217"/>
      <c r="K77" s="212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</row>
    <row r="78" ht="15.75" customHeight="1">
      <c r="A78" s="37">
        <v>200.0</v>
      </c>
      <c r="B78" s="195" t="s">
        <v>176</v>
      </c>
      <c r="C78" s="196" t="s">
        <v>1279</v>
      </c>
      <c r="D78" s="205" t="s">
        <v>1277</v>
      </c>
      <c r="E78" s="205" t="s">
        <v>1136</v>
      </c>
      <c r="F78" s="218"/>
      <c r="G78" s="197" t="s">
        <v>180</v>
      </c>
      <c r="H78" s="218"/>
      <c r="I78" s="216"/>
      <c r="J78" s="217"/>
      <c r="K78" s="212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</row>
    <row r="79" ht="15.75" customHeight="1">
      <c r="A79" s="37">
        <v>200.0</v>
      </c>
      <c r="B79" s="195" t="s">
        <v>176</v>
      </c>
      <c r="C79" s="196" t="s">
        <v>1280</v>
      </c>
      <c r="D79" s="205" t="s">
        <v>1277</v>
      </c>
      <c r="E79" s="205" t="s">
        <v>1155</v>
      </c>
      <c r="F79" s="218"/>
      <c r="G79" s="197" t="s">
        <v>180</v>
      </c>
      <c r="H79" s="218"/>
      <c r="I79" s="216"/>
      <c r="J79" s="217"/>
      <c r="K79" s="212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</row>
    <row r="80" ht="15.75" customHeight="1">
      <c r="A80" s="37">
        <v>200.0</v>
      </c>
      <c r="B80" s="195" t="s">
        <v>176</v>
      </c>
      <c r="C80" s="196" t="s">
        <v>1281</v>
      </c>
      <c r="D80" s="205" t="s">
        <v>1277</v>
      </c>
      <c r="E80" s="205" t="s">
        <v>1179</v>
      </c>
      <c r="F80" s="218"/>
      <c r="G80" s="197" t="s">
        <v>180</v>
      </c>
      <c r="H80" s="218"/>
      <c r="I80" s="216"/>
      <c r="J80" s="217"/>
      <c r="K80" s="212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</row>
    <row r="81" ht="15.75" customHeight="1">
      <c r="A81" s="37">
        <v>200.0</v>
      </c>
      <c r="B81" s="195" t="s">
        <v>176</v>
      </c>
      <c r="C81" s="196" t="s">
        <v>1282</v>
      </c>
      <c r="D81" s="205" t="s">
        <v>1283</v>
      </c>
      <c r="E81" s="205" t="s">
        <v>1136</v>
      </c>
      <c r="F81" s="218"/>
      <c r="G81" s="197" t="s">
        <v>180</v>
      </c>
      <c r="H81" s="218"/>
      <c r="I81" s="216"/>
      <c r="J81" s="217"/>
      <c r="K81" s="212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</row>
    <row r="82" ht="15.75" customHeight="1">
      <c r="A82" s="207">
        <v>201.0</v>
      </c>
      <c r="B82" s="195" t="s">
        <v>176</v>
      </c>
      <c r="C82" s="196" t="s">
        <v>1284</v>
      </c>
      <c r="D82" s="205" t="s">
        <v>1283</v>
      </c>
      <c r="E82" s="205" t="s">
        <v>1125</v>
      </c>
      <c r="F82" s="218"/>
      <c r="G82" s="197" t="s">
        <v>180</v>
      </c>
      <c r="H82" s="218"/>
      <c r="I82" s="216"/>
      <c r="J82" s="217"/>
      <c r="K82" s="212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</row>
    <row r="83" ht="15.75" customHeight="1">
      <c r="A83" s="37">
        <v>200.0</v>
      </c>
      <c r="B83" s="195" t="s">
        <v>176</v>
      </c>
      <c r="C83" s="196" t="s">
        <v>1285</v>
      </c>
      <c r="D83" s="205" t="s">
        <v>1283</v>
      </c>
      <c r="E83" s="205" t="s">
        <v>1136</v>
      </c>
      <c r="F83" s="218"/>
      <c r="G83" s="197" t="s">
        <v>180</v>
      </c>
      <c r="H83" s="218"/>
      <c r="I83" s="216"/>
      <c r="J83" s="217"/>
      <c r="K83" s="212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</row>
    <row r="84" ht="15.75" customHeight="1">
      <c r="A84" s="37">
        <v>200.0</v>
      </c>
      <c r="B84" s="195" t="s">
        <v>176</v>
      </c>
      <c r="C84" s="196" t="s">
        <v>1286</v>
      </c>
      <c r="D84" s="205" t="s">
        <v>1283</v>
      </c>
      <c r="E84" s="205" t="s">
        <v>1155</v>
      </c>
      <c r="F84" s="218"/>
      <c r="G84" s="197" t="s">
        <v>180</v>
      </c>
      <c r="H84" s="218"/>
      <c r="I84" s="216"/>
      <c r="J84" s="217"/>
      <c r="K84" s="212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</row>
    <row r="85" ht="15.75" customHeight="1">
      <c r="A85" s="37">
        <v>200.0</v>
      </c>
      <c r="B85" s="195" t="s">
        <v>176</v>
      </c>
      <c r="C85" s="196" t="s">
        <v>1287</v>
      </c>
      <c r="D85" s="205" t="s">
        <v>1283</v>
      </c>
      <c r="E85" s="205" t="s">
        <v>1179</v>
      </c>
      <c r="F85" s="218"/>
      <c r="G85" s="197" t="s">
        <v>180</v>
      </c>
      <c r="H85" s="218"/>
      <c r="I85" s="216"/>
      <c r="J85" s="217"/>
      <c r="K85" s="212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</row>
    <row r="86" ht="15.75" customHeight="1">
      <c r="A86" s="218"/>
      <c r="B86" s="218"/>
      <c r="C86" s="218"/>
      <c r="D86" s="218"/>
      <c r="E86" s="218"/>
      <c r="F86" s="218"/>
      <c r="G86" s="218"/>
      <c r="H86" s="218"/>
      <c r="I86" s="216"/>
      <c r="J86" s="217"/>
      <c r="K86" s="212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</row>
    <row r="87" ht="15.75" customHeight="1">
      <c r="A87" s="218"/>
      <c r="B87" s="218"/>
      <c r="C87" s="218"/>
      <c r="D87" s="218"/>
      <c r="E87" s="218"/>
      <c r="F87" s="218"/>
      <c r="G87" s="218"/>
      <c r="H87" s="218"/>
      <c r="I87" s="216"/>
      <c r="J87" s="217"/>
      <c r="K87" s="212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</row>
    <row r="88" ht="15.75" customHeight="1">
      <c r="A88" s="218"/>
      <c r="B88" s="218"/>
      <c r="C88" s="218"/>
      <c r="D88" s="218"/>
      <c r="E88" s="218"/>
      <c r="F88" s="218"/>
      <c r="G88" s="218"/>
      <c r="H88" s="218"/>
      <c r="I88" s="216"/>
      <c r="J88" s="217"/>
      <c r="K88" s="212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</row>
    <row r="89" ht="15.75" customHeight="1">
      <c r="A89" s="218"/>
      <c r="B89" s="218"/>
      <c r="C89" s="218"/>
      <c r="D89" s="218"/>
      <c r="E89" s="218"/>
      <c r="F89" s="218"/>
      <c r="G89" s="218"/>
      <c r="H89" s="218"/>
      <c r="I89" s="216"/>
      <c r="J89" s="217"/>
      <c r="K89" s="212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</row>
    <row r="90" ht="15.75" customHeight="1">
      <c r="A90" s="218"/>
      <c r="B90" s="218"/>
      <c r="C90" s="218"/>
      <c r="D90" s="218"/>
      <c r="E90" s="218"/>
      <c r="F90" s="218"/>
      <c r="G90" s="218"/>
      <c r="H90" s="218"/>
      <c r="I90" s="216"/>
      <c r="J90" s="217"/>
      <c r="K90" s="212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</row>
    <row r="91" ht="15.75" customHeight="1">
      <c r="A91" s="218"/>
      <c r="B91" s="218"/>
      <c r="C91" s="218"/>
      <c r="D91" s="218"/>
      <c r="E91" s="218"/>
      <c r="F91" s="218"/>
      <c r="G91" s="218"/>
      <c r="H91" s="218"/>
      <c r="I91" s="216"/>
      <c r="J91" s="217"/>
      <c r="K91" s="212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</row>
    <row r="92" ht="15.75" customHeight="1">
      <c r="A92" s="218"/>
      <c r="B92" s="218"/>
      <c r="C92" s="218"/>
      <c r="D92" s="218"/>
      <c r="E92" s="218"/>
      <c r="F92" s="218"/>
      <c r="G92" s="218"/>
      <c r="H92" s="218"/>
      <c r="I92" s="216"/>
      <c r="J92" s="217"/>
      <c r="K92" s="212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</row>
    <row r="93" ht="15.75" customHeight="1">
      <c r="A93" s="218"/>
      <c r="B93" s="218"/>
      <c r="C93" s="218"/>
      <c r="D93" s="218"/>
      <c r="E93" s="218"/>
      <c r="F93" s="218"/>
      <c r="G93" s="218"/>
      <c r="H93" s="218"/>
      <c r="I93" s="216"/>
      <c r="J93" s="217"/>
      <c r="K93" s="212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</row>
    <row r="94" ht="15.75" customHeight="1">
      <c r="A94" s="218"/>
      <c r="B94" s="218"/>
      <c r="C94" s="218"/>
      <c r="D94" s="218"/>
      <c r="E94" s="218"/>
      <c r="F94" s="218"/>
      <c r="G94" s="218"/>
      <c r="H94" s="218"/>
      <c r="I94" s="216"/>
      <c r="J94" s="217"/>
      <c r="K94" s="212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</row>
    <row r="95" ht="15.75" customHeight="1">
      <c r="A95" s="218"/>
      <c r="B95" s="218"/>
      <c r="C95" s="218"/>
      <c r="D95" s="218"/>
      <c r="E95" s="218"/>
      <c r="F95" s="218"/>
      <c r="G95" s="218"/>
      <c r="H95" s="218"/>
      <c r="I95" s="216"/>
      <c r="J95" s="217"/>
      <c r="K95" s="212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</row>
    <row r="96" ht="15.75" customHeight="1">
      <c r="A96" s="218"/>
      <c r="B96" s="218"/>
      <c r="C96" s="218"/>
      <c r="D96" s="218"/>
      <c r="E96" s="218"/>
      <c r="F96" s="218"/>
      <c r="G96" s="218"/>
      <c r="H96" s="218"/>
      <c r="I96" s="216"/>
      <c r="J96" s="217"/>
      <c r="K96" s="212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</row>
    <row r="97" ht="15.75" customHeight="1">
      <c r="A97" s="218"/>
      <c r="B97" s="218"/>
      <c r="C97" s="218"/>
      <c r="D97" s="218"/>
      <c r="E97" s="218"/>
      <c r="F97" s="218"/>
      <c r="G97" s="218"/>
      <c r="H97" s="218"/>
      <c r="I97" s="216"/>
      <c r="J97" s="217"/>
      <c r="K97" s="212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</row>
    <row r="98" ht="15.75" customHeight="1">
      <c r="A98" s="218"/>
      <c r="B98" s="218"/>
      <c r="C98" s="218"/>
      <c r="D98" s="218"/>
      <c r="E98" s="218"/>
      <c r="F98" s="218"/>
      <c r="G98" s="218"/>
      <c r="H98" s="218"/>
      <c r="I98" s="216"/>
      <c r="J98" s="217"/>
      <c r="K98" s="212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</row>
    <row r="99" ht="15.75" customHeight="1">
      <c r="A99" s="218"/>
      <c r="B99" s="218"/>
      <c r="C99" s="218"/>
      <c r="D99" s="218"/>
      <c r="E99" s="218"/>
      <c r="F99" s="218"/>
      <c r="G99" s="218"/>
      <c r="H99" s="218"/>
      <c r="I99" s="216"/>
      <c r="J99" s="217"/>
      <c r="K99" s="212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</row>
    <row r="100" ht="15.75" customHeight="1">
      <c r="A100" s="218"/>
      <c r="B100" s="218"/>
      <c r="C100" s="218"/>
      <c r="D100" s="218"/>
      <c r="E100" s="218"/>
      <c r="F100" s="218"/>
      <c r="G100" s="218"/>
      <c r="H100" s="218"/>
      <c r="I100" s="216"/>
      <c r="J100" s="217"/>
      <c r="K100" s="212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</row>
    <row r="101" ht="15.75" customHeight="1">
      <c r="A101" s="218"/>
      <c r="B101" s="218"/>
      <c r="C101" s="218"/>
      <c r="D101" s="218"/>
      <c r="E101" s="218"/>
      <c r="F101" s="218"/>
      <c r="G101" s="218"/>
      <c r="H101" s="218"/>
      <c r="I101" s="216"/>
      <c r="J101" s="217"/>
      <c r="K101" s="212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</row>
    <row r="102" ht="15.75" customHeight="1">
      <c r="A102" s="218"/>
      <c r="B102" s="218"/>
      <c r="C102" s="218"/>
      <c r="D102" s="218"/>
      <c r="E102" s="218"/>
      <c r="F102" s="218"/>
      <c r="G102" s="218"/>
      <c r="H102" s="218"/>
      <c r="I102" s="216"/>
      <c r="J102" s="217"/>
      <c r="K102" s="212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</row>
    <row r="103" ht="15.75" customHeight="1">
      <c r="A103" s="218"/>
      <c r="B103" s="218"/>
      <c r="C103" s="218"/>
      <c r="D103" s="218"/>
      <c r="E103" s="218"/>
      <c r="F103" s="218"/>
      <c r="G103" s="218"/>
      <c r="H103" s="218"/>
      <c r="I103" s="216"/>
      <c r="J103" s="217"/>
      <c r="K103" s="212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</row>
    <row r="104" ht="15.75" customHeight="1">
      <c r="A104" s="218"/>
      <c r="B104" s="218"/>
      <c r="C104" s="218"/>
      <c r="D104" s="218"/>
      <c r="E104" s="218"/>
      <c r="F104" s="218"/>
      <c r="G104" s="218"/>
      <c r="H104" s="218"/>
      <c r="I104" s="216"/>
      <c r="J104" s="217"/>
      <c r="K104" s="212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</row>
    <row r="105" ht="15.75" customHeight="1">
      <c r="A105" s="218"/>
      <c r="B105" s="218"/>
      <c r="C105" s="218"/>
      <c r="D105" s="218"/>
      <c r="E105" s="218"/>
      <c r="F105" s="218"/>
      <c r="G105" s="218"/>
      <c r="H105" s="218"/>
      <c r="I105" s="216"/>
      <c r="J105" s="217"/>
      <c r="K105" s="212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</row>
    <row r="106" ht="15.75" customHeight="1">
      <c r="A106" s="218"/>
      <c r="B106" s="218"/>
      <c r="C106" s="218"/>
      <c r="D106" s="218"/>
      <c r="E106" s="218"/>
      <c r="F106" s="218"/>
      <c r="G106" s="218"/>
      <c r="H106" s="218"/>
      <c r="I106" s="216"/>
      <c r="J106" s="217"/>
      <c r="K106" s="212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</row>
    <row r="107" ht="15.75" customHeight="1">
      <c r="A107" s="218"/>
      <c r="B107" s="218"/>
      <c r="C107" s="218"/>
      <c r="D107" s="218"/>
      <c r="E107" s="218"/>
      <c r="F107" s="218"/>
      <c r="G107" s="218"/>
      <c r="H107" s="218"/>
      <c r="I107" s="216"/>
      <c r="J107" s="217"/>
      <c r="K107" s="212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</row>
    <row r="108" ht="15.75" customHeight="1">
      <c r="A108" s="218"/>
      <c r="B108" s="218"/>
      <c r="C108" s="218"/>
      <c r="D108" s="218"/>
      <c r="E108" s="218"/>
      <c r="F108" s="218"/>
      <c r="G108" s="218"/>
      <c r="H108" s="218"/>
      <c r="I108" s="216"/>
      <c r="J108" s="217"/>
      <c r="K108" s="212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</row>
    <row r="109" ht="15.75" customHeight="1">
      <c r="A109" s="218"/>
      <c r="B109" s="218"/>
      <c r="C109" s="218"/>
      <c r="D109" s="218"/>
      <c r="E109" s="218"/>
      <c r="F109" s="218"/>
      <c r="G109" s="218"/>
      <c r="H109" s="218"/>
      <c r="I109" s="216"/>
      <c r="J109" s="217"/>
      <c r="K109" s="212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</row>
    <row r="110" ht="15.75" customHeight="1">
      <c r="A110" s="218"/>
      <c r="B110" s="218"/>
      <c r="C110" s="218"/>
      <c r="D110" s="218"/>
      <c r="E110" s="218"/>
      <c r="F110" s="218"/>
      <c r="G110" s="218"/>
      <c r="H110" s="218"/>
      <c r="I110" s="216"/>
      <c r="J110" s="217"/>
      <c r="K110" s="212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</row>
    <row r="111" ht="15.75" customHeight="1">
      <c r="A111" s="218"/>
      <c r="B111" s="218"/>
      <c r="C111" s="218"/>
      <c r="D111" s="218"/>
      <c r="E111" s="218"/>
      <c r="F111" s="218"/>
      <c r="G111" s="218"/>
      <c r="H111" s="218"/>
      <c r="I111" s="216"/>
      <c r="J111" s="217"/>
      <c r="K111" s="212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</row>
    <row r="112" ht="15.75" customHeight="1">
      <c r="A112" s="218"/>
      <c r="B112" s="218"/>
      <c r="C112" s="218"/>
      <c r="D112" s="218"/>
      <c r="E112" s="218"/>
      <c r="F112" s="218"/>
      <c r="G112" s="218"/>
      <c r="H112" s="218"/>
      <c r="I112" s="216"/>
      <c r="J112" s="217"/>
      <c r="K112" s="212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</row>
    <row r="113" ht="15.75" customHeight="1">
      <c r="A113" s="218"/>
      <c r="B113" s="218"/>
      <c r="C113" s="218"/>
      <c r="D113" s="218"/>
      <c r="E113" s="218"/>
      <c r="F113" s="218"/>
      <c r="G113" s="218"/>
      <c r="H113" s="218"/>
      <c r="I113" s="216"/>
      <c r="J113" s="217"/>
      <c r="K113" s="212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</row>
    <row r="114" ht="15.75" customHeight="1">
      <c r="A114" s="218"/>
      <c r="B114" s="218"/>
      <c r="C114" s="218"/>
      <c r="D114" s="218"/>
      <c r="E114" s="218"/>
      <c r="F114" s="218"/>
      <c r="G114" s="218"/>
      <c r="H114" s="218"/>
      <c r="I114" s="216"/>
      <c r="J114" s="217"/>
      <c r="K114" s="212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</row>
    <row r="115" ht="15.75" customHeight="1">
      <c r="A115" s="218"/>
      <c r="B115" s="218"/>
      <c r="C115" s="218"/>
      <c r="D115" s="218"/>
      <c r="E115" s="218"/>
      <c r="F115" s="218"/>
      <c r="G115" s="218"/>
      <c r="H115" s="218"/>
      <c r="I115" s="216"/>
      <c r="J115" s="217"/>
      <c r="K115" s="212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</row>
    <row r="116" ht="15.75" customHeight="1">
      <c r="A116" s="218"/>
      <c r="B116" s="218"/>
      <c r="C116" s="218"/>
      <c r="D116" s="218"/>
      <c r="E116" s="218"/>
      <c r="F116" s="218"/>
      <c r="G116" s="218"/>
      <c r="H116" s="218"/>
      <c r="I116" s="216"/>
      <c r="J116" s="217"/>
      <c r="K116" s="212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</row>
    <row r="117" ht="15.75" customHeight="1">
      <c r="A117" s="218"/>
      <c r="B117" s="218"/>
      <c r="C117" s="218"/>
      <c r="D117" s="218"/>
      <c r="E117" s="218"/>
      <c r="F117" s="218"/>
      <c r="G117" s="218"/>
      <c r="H117" s="218"/>
      <c r="I117" s="216"/>
      <c r="J117" s="217"/>
      <c r="K117" s="212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</row>
    <row r="118" ht="15.75" customHeight="1">
      <c r="A118" s="218"/>
      <c r="B118" s="218"/>
      <c r="C118" s="218"/>
      <c r="D118" s="218"/>
      <c r="E118" s="218"/>
      <c r="F118" s="218"/>
      <c r="G118" s="218"/>
      <c r="H118" s="218"/>
      <c r="I118" s="216"/>
      <c r="J118" s="217"/>
      <c r="K118" s="212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</row>
    <row r="119" ht="15.75" customHeight="1">
      <c r="A119" s="218"/>
      <c r="B119" s="218"/>
      <c r="C119" s="218"/>
      <c r="D119" s="218"/>
      <c r="E119" s="218"/>
      <c r="F119" s="218"/>
      <c r="G119" s="218"/>
      <c r="H119" s="218"/>
      <c r="I119" s="216"/>
      <c r="J119" s="217"/>
      <c r="K119" s="212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</row>
    <row r="120" ht="15.75" customHeight="1">
      <c r="A120" s="218"/>
      <c r="B120" s="218"/>
      <c r="C120" s="218"/>
      <c r="D120" s="218"/>
      <c r="E120" s="218"/>
      <c r="F120" s="218"/>
      <c r="G120" s="218"/>
      <c r="H120" s="218"/>
      <c r="I120" s="216"/>
      <c r="J120" s="217"/>
      <c r="K120" s="212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</row>
    <row r="121" ht="15.75" customHeight="1">
      <c r="A121" s="218"/>
      <c r="B121" s="218"/>
      <c r="C121" s="218"/>
      <c r="D121" s="218"/>
      <c r="E121" s="218"/>
      <c r="F121" s="218"/>
      <c r="G121" s="218"/>
      <c r="H121" s="218"/>
      <c r="I121" s="216"/>
      <c r="J121" s="217"/>
      <c r="K121" s="212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</row>
    <row r="122" ht="15.75" customHeight="1">
      <c r="A122" s="218"/>
      <c r="B122" s="218"/>
      <c r="C122" s="218"/>
      <c r="D122" s="218"/>
      <c r="E122" s="218"/>
      <c r="F122" s="218"/>
      <c r="G122" s="218"/>
      <c r="H122" s="218"/>
      <c r="I122" s="216"/>
      <c r="J122" s="217"/>
      <c r="K122" s="212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</row>
    <row r="123" ht="15.75" customHeight="1">
      <c r="A123" s="218"/>
      <c r="B123" s="218"/>
      <c r="C123" s="218"/>
      <c r="D123" s="218"/>
      <c r="E123" s="218"/>
      <c r="F123" s="218"/>
      <c r="G123" s="218"/>
      <c r="H123" s="218"/>
      <c r="I123" s="216"/>
      <c r="J123" s="217"/>
      <c r="K123" s="212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</row>
    <row r="124" ht="15.75" customHeight="1">
      <c r="A124" s="218"/>
      <c r="B124" s="218"/>
      <c r="C124" s="218"/>
      <c r="D124" s="218"/>
      <c r="E124" s="218"/>
      <c r="F124" s="218"/>
      <c r="G124" s="218"/>
      <c r="H124" s="218"/>
      <c r="I124" s="216"/>
      <c r="J124" s="217"/>
      <c r="K124" s="212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</row>
    <row r="125" ht="15.75" customHeight="1">
      <c r="A125" s="218"/>
      <c r="B125" s="218"/>
      <c r="C125" s="218"/>
      <c r="D125" s="218"/>
      <c r="E125" s="218"/>
      <c r="F125" s="218"/>
      <c r="G125" s="218"/>
      <c r="H125" s="218"/>
      <c r="I125" s="216"/>
      <c r="J125" s="217"/>
      <c r="K125" s="212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</row>
    <row r="126" ht="15.75" customHeight="1">
      <c r="A126" s="218"/>
      <c r="B126" s="218"/>
      <c r="C126" s="218"/>
      <c r="D126" s="218"/>
      <c r="E126" s="218"/>
      <c r="F126" s="218"/>
      <c r="G126" s="218"/>
      <c r="H126" s="218"/>
      <c r="I126" s="216"/>
      <c r="J126" s="217"/>
      <c r="K126" s="212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</row>
    <row r="127" ht="15.75" customHeight="1">
      <c r="A127" s="218"/>
      <c r="B127" s="218"/>
      <c r="C127" s="218"/>
      <c r="D127" s="218"/>
      <c r="E127" s="218"/>
      <c r="F127" s="218"/>
      <c r="G127" s="218"/>
      <c r="H127" s="218"/>
      <c r="I127" s="216"/>
      <c r="J127" s="217"/>
      <c r="K127" s="212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</row>
    <row r="128" ht="15.75" customHeight="1">
      <c r="A128" s="218"/>
      <c r="B128" s="218"/>
      <c r="C128" s="218"/>
      <c r="D128" s="218"/>
      <c r="E128" s="218"/>
      <c r="F128" s="218"/>
      <c r="G128" s="218"/>
      <c r="H128" s="218"/>
      <c r="I128" s="216"/>
      <c r="J128" s="217"/>
      <c r="K128" s="212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</row>
    <row r="129" ht="15.75" customHeight="1">
      <c r="A129" s="218"/>
      <c r="B129" s="218"/>
      <c r="C129" s="218"/>
      <c r="D129" s="218"/>
      <c r="E129" s="218"/>
      <c r="F129" s="218"/>
      <c r="G129" s="218"/>
      <c r="H129" s="218"/>
      <c r="I129" s="216"/>
      <c r="J129" s="217"/>
      <c r="K129" s="212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</row>
    <row r="130" ht="15.75" customHeight="1">
      <c r="A130" s="218"/>
      <c r="B130" s="218"/>
      <c r="C130" s="218"/>
      <c r="D130" s="218"/>
      <c r="E130" s="218"/>
      <c r="F130" s="218"/>
      <c r="G130" s="218"/>
      <c r="H130" s="218"/>
      <c r="I130" s="216"/>
      <c r="J130" s="217"/>
      <c r="K130" s="212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</row>
    <row r="131" ht="15.75" customHeight="1">
      <c r="A131" s="218"/>
      <c r="B131" s="218"/>
      <c r="C131" s="218"/>
      <c r="D131" s="218"/>
      <c r="E131" s="218"/>
      <c r="F131" s="218"/>
      <c r="G131" s="218"/>
      <c r="H131" s="218"/>
      <c r="I131" s="216"/>
      <c r="J131" s="217"/>
      <c r="K131" s="212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</row>
    <row r="132" ht="15.75" customHeight="1">
      <c r="A132" s="218"/>
      <c r="B132" s="218"/>
      <c r="C132" s="218"/>
      <c r="D132" s="218"/>
      <c r="E132" s="218"/>
      <c r="F132" s="218"/>
      <c r="G132" s="218"/>
      <c r="H132" s="218"/>
      <c r="I132" s="216"/>
      <c r="J132" s="217"/>
      <c r="K132" s="212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</row>
    <row r="133" ht="15.75" customHeight="1">
      <c r="A133" s="218"/>
      <c r="B133" s="218"/>
      <c r="C133" s="218"/>
      <c r="D133" s="218"/>
      <c r="E133" s="218"/>
      <c r="F133" s="218"/>
      <c r="G133" s="218"/>
      <c r="H133" s="218"/>
      <c r="I133" s="216"/>
      <c r="J133" s="217"/>
      <c r="K133" s="212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</row>
    <row r="134" ht="15.75" customHeight="1">
      <c r="A134" s="218"/>
      <c r="B134" s="218"/>
      <c r="C134" s="218"/>
      <c r="D134" s="218"/>
      <c r="E134" s="218"/>
      <c r="F134" s="218"/>
      <c r="G134" s="218"/>
      <c r="H134" s="218"/>
      <c r="I134" s="216"/>
      <c r="J134" s="217"/>
      <c r="K134" s="212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</row>
    <row r="135" ht="15.75" customHeight="1">
      <c r="A135" s="218"/>
      <c r="B135" s="218"/>
      <c r="C135" s="218"/>
      <c r="D135" s="218"/>
      <c r="E135" s="218"/>
      <c r="F135" s="218"/>
      <c r="G135" s="218"/>
      <c r="H135" s="218"/>
      <c r="I135" s="216"/>
      <c r="J135" s="217"/>
      <c r="K135" s="212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</row>
    <row r="136" ht="15.75" customHeight="1">
      <c r="A136" s="218"/>
      <c r="B136" s="218"/>
      <c r="C136" s="218"/>
      <c r="D136" s="218"/>
      <c r="E136" s="218"/>
      <c r="F136" s="218"/>
      <c r="G136" s="218"/>
      <c r="H136" s="218"/>
      <c r="I136" s="216"/>
      <c r="J136" s="217"/>
      <c r="K136" s="212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</row>
    <row r="137" ht="15.75" customHeight="1">
      <c r="A137" s="218"/>
      <c r="B137" s="218"/>
      <c r="C137" s="218"/>
      <c r="D137" s="218"/>
      <c r="E137" s="218"/>
      <c r="F137" s="218"/>
      <c r="G137" s="218"/>
      <c r="H137" s="218"/>
      <c r="I137" s="216"/>
      <c r="J137" s="217"/>
      <c r="K137" s="212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</row>
    <row r="138" ht="15.75" customHeight="1">
      <c r="A138" s="218"/>
      <c r="B138" s="218"/>
      <c r="C138" s="218"/>
      <c r="D138" s="218"/>
      <c r="E138" s="218"/>
      <c r="F138" s="218"/>
      <c r="G138" s="218"/>
      <c r="H138" s="218"/>
      <c r="I138" s="216"/>
      <c r="J138" s="217"/>
      <c r="K138" s="212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</row>
    <row r="139" ht="15.75" customHeight="1">
      <c r="A139" s="218"/>
      <c r="B139" s="218"/>
      <c r="C139" s="218"/>
      <c r="D139" s="218"/>
      <c r="E139" s="218"/>
      <c r="F139" s="218"/>
      <c r="G139" s="218"/>
      <c r="H139" s="218"/>
      <c r="I139" s="216"/>
      <c r="J139" s="217"/>
      <c r="K139" s="212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</row>
    <row r="140" ht="15.75" customHeight="1">
      <c r="A140" s="218"/>
      <c r="B140" s="218"/>
      <c r="C140" s="218"/>
      <c r="D140" s="218"/>
      <c r="E140" s="218"/>
      <c r="F140" s="218"/>
      <c r="G140" s="218"/>
      <c r="H140" s="218"/>
      <c r="I140" s="216"/>
      <c r="J140" s="217"/>
      <c r="K140" s="212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</row>
    <row r="141" ht="15.75" customHeight="1">
      <c r="A141" s="218"/>
      <c r="B141" s="218"/>
      <c r="C141" s="218"/>
      <c r="D141" s="218"/>
      <c r="E141" s="218"/>
      <c r="F141" s="218"/>
      <c r="G141" s="218"/>
      <c r="H141" s="218"/>
      <c r="I141" s="216"/>
      <c r="J141" s="217"/>
      <c r="K141" s="212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</row>
    <row r="142" ht="15.75" customHeight="1">
      <c r="A142" s="218"/>
      <c r="B142" s="218"/>
      <c r="C142" s="218"/>
      <c r="D142" s="218"/>
      <c r="E142" s="218"/>
      <c r="F142" s="218"/>
      <c r="G142" s="218"/>
      <c r="H142" s="218"/>
      <c r="I142" s="216"/>
      <c r="J142" s="217"/>
      <c r="K142" s="212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</row>
    <row r="143" ht="15.75" customHeight="1">
      <c r="A143" s="218"/>
      <c r="B143" s="218"/>
      <c r="C143" s="218"/>
      <c r="D143" s="218"/>
      <c r="E143" s="218"/>
      <c r="F143" s="218"/>
      <c r="G143" s="218"/>
      <c r="H143" s="218"/>
      <c r="I143" s="216"/>
      <c r="J143" s="217"/>
      <c r="K143" s="212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</row>
    <row r="144" ht="15.75" customHeight="1">
      <c r="A144" s="218"/>
      <c r="B144" s="218"/>
      <c r="C144" s="218"/>
      <c r="D144" s="218"/>
      <c r="E144" s="218"/>
      <c r="F144" s="218"/>
      <c r="G144" s="218"/>
      <c r="H144" s="218"/>
      <c r="I144" s="216"/>
      <c r="J144" s="217"/>
      <c r="K144" s="212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</row>
    <row r="145" ht="15.75" customHeight="1">
      <c r="A145" s="218"/>
      <c r="B145" s="218"/>
      <c r="C145" s="218"/>
      <c r="D145" s="218"/>
      <c r="E145" s="218"/>
      <c r="F145" s="218"/>
      <c r="G145" s="218"/>
      <c r="H145" s="218"/>
      <c r="I145" s="216"/>
      <c r="J145" s="217"/>
      <c r="K145" s="212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</row>
    <row r="146" ht="15.75" customHeight="1">
      <c r="A146" s="218"/>
      <c r="B146" s="218"/>
      <c r="C146" s="218"/>
      <c r="D146" s="218"/>
      <c r="E146" s="218"/>
      <c r="F146" s="218"/>
      <c r="G146" s="218"/>
      <c r="H146" s="218"/>
      <c r="I146" s="216"/>
      <c r="J146" s="217"/>
      <c r="K146" s="212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</row>
    <row r="147" ht="15.75" customHeight="1">
      <c r="A147" s="218"/>
      <c r="B147" s="218"/>
      <c r="C147" s="218"/>
      <c r="D147" s="218"/>
      <c r="E147" s="218"/>
      <c r="F147" s="218"/>
      <c r="G147" s="218"/>
      <c r="H147" s="218"/>
      <c r="I147" s="216"/>
      <c r="J147" s="217"/>
      <c r="K147" s="212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</row>
    <row r="148" ht="15.75" customHeight="1">
      <c r="A148" s="218"/>
      <c r="B148" s="218"/>
      <c r="C148" s="218"/>
      <c r="D148" s="218"/>
      <c r="E148" s="218"/>
      <c r="F148" s="218"/>
      <c r="G148" s="218"/>
      <c r="H148" s="218"/>
      <c r="I148" s="216"/>
      <c r="J148" s="217"/>
      <c r="K148" s="212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</row>
    <row r="149" ht="15.75" customHeight="1">
      <c r="A149" s="218"/>
      <c r="B149" s="218"/>
      <c r="C149" s="218"/>
      <c r="D149" s="218"/>
      <c r="E149" s="218"/>
      <c r="F149" s="218"/>
      <c r="G149" s="218"/>
      <c r="H149" s="218"/>
      <c r="I149" s="216"/>
      <c r="J149" s="217"/>
      <c r="K149" s="212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</row>
    <row r="150" ht="15.75" customHeight="1">
      <c r="A150" s="218"/>
      <c r="B150" s="218"/>
      <c r="C150" s="218"/>
      <c r="D150" s="218"/>
      <c r="E150" s="218"/>
      <c r="F150" s="218"/>
      <c r="G150" s="218"/>
      <c r="H150" s="218"/>
      <c r="I150" s="216"/>
      <c r="J150" s="217"/>
      <c r="K150" s="212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</row>
    <row r="151" ht="15.75" customHeight="1">
      <c r="A151" s="218"/>
      <c r="B151" s="218"/>
      <c r="C151" s="218"/>
      <c r="D151" s="218"/>
      <c r="E151" s="218"/>
      <c r="F151" s="218"/>
      <c r="G151" s="218"/>
      <c r="H151" s="218"/>
      <c r="I151" s="216"/>
      <c r="J151" s="217"/>
      <c r="K151" s="212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</row>
    <row r="152" ht="15.75" customHeight="1">
      <c r="A152" s="218"/>
      <c r="B152" s="218"/>
      <c r="C152" s="218"/>
      <c r="D152" s="218"/>
      <c r="E152" s="218"/>
      <c r="F152" s="218"/>
      <c r="G152" s="218"/>
      <c r="H152" s="218"/>
      <c r="I152" s="216"/>
      <c r="J152" s="217"/>
      <c r="K152" s="212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</row>
    <row r="153" ht="15.75" customHeight="1">
      <c r="A153" s="218"/>
      <c r="B153" s="218"/>
      <c r="C153" s="218"/>
      <c r="D153" s="218"/>
      <c r="E153" s="218"/>
      <c r="F153" s="218"/>
      <c r="G153" s="218"/>
      <c r="H153" s="218"/>
      <c r="I153" s="216"/>
      <c r="J153" s="217"/>
      <c r="K153" s="212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</row>
    <row r="154" ht="15.75" customHeight="1">
      <c r="A154" s="218"/>
      <c r="B154" s="218"/>
      <c r="C154" s="218"/>
      <c r="D154" s="218"/>
      <c r="E154" s="218"/>
      <c r="F154" s="218"/>
      <c r="G154" s="218"/>
      <c r="H154" s="218"/>
      <c r="I154" s="216"/>
      <c r="J154" s="217"/>
      <c r="K154" s="212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</row>
    <row r="155" ht="15.75" customHeight="1">
      <c r="A155" s="218"/>
      <c r="B155" s="218"/>
      <c r="C155" s="218"/>
      <c r="D155" s="218"/>
      <c r="E155" s="218"/>
      <c r="F155" s="218"/>
      <c r="G155" s="218"/>
      <c r="H155" s="218"/>
      <c r="I155" s="216"/>
      <c r="J155" s="217"/>
      <c r="K155" s="212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</row>
    <row r="156" ht="15.75" customHeight="1">
      <c r="A156" s="218"/>
      <c r="B156" s="218"/>
      <c r="C156" s="218"/>
      <c r="D156" s="218"/>
      <c r="E156" s="218"/>
      <c r="F156" s="218"/>
      <c r="G156" s="218"/>
      <c r="H156" s="218"/>
      <c r="I156" s="216"/>
      <c r="J156" s="217"/>
      <c r="K156" s="212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</row>
    <row r="157" ht="15.75" customHeight="1">
      <c r="A157" s="218"/>
      <c r="B157" s="218"/>
      <c r="C157" s="218"/>
      <c r="D157" s="218"/>
      <c r="E157" s="218"/>
      <c r="F157" s="218"/>
      <c r="G157" s="218"/>
      <c r="H157" s="218"/>
      <c r="I157" s="216"/>
      <c r="J157" s="217"/>
      <c r="K157" s="212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</row>
    <row r="158" ht="15.75" customHeight="1">
      <c r="A158" s="218"/>
      <c r="B158" s="218"/>
      <c r="C158" s="218"/>
      <c r="D158" s="218"/>
      <c r="E158" s="218"/>
      <c r="F158" s="218"/>
      <c r="G158" s="218"/>
      <c r="H158" s="218"/>
      <c r="I158" s="216"/>
      <c r="J158" s="217"/>
      <c r="K158" s="212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</row>
    <row r="159" ht="15.75" customHeight="1">
      <c r="A159" s="218"/>
      <c r="B159" s="218"/>
      <c r="C159" s="218"/>
      <c r="D159" s="218"/>
      <c r="E159" s="218"/>
      <c r="F159" s="218"/>
      <c r="G159" s="218"/>
      <c r="H159" s="218"/>
      <c r="I159" s="216"/>
      <c r="J159" s="217"/>
      <c r="K159" s="212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</row>
    <row r="160" ht="15.75" customHeight="1">
      <c r="A160" s="218"/>
      <c r="B160" s="218"/>
      <c r="C160" s="218"/>
      <c r="D160" s="218"/>
      <c r="E160" s="218"/>
      <c r="F160" s="218"/>
      <c r="G160" s="218"/>
      <c r="H160" s="218"/>
      <c r="I160" s="216"/>
      <c r="J160" s="217"/>
      <c r="K160" s="212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</row>
    <row r="161" ht="15.75" customHeight="1">
      <c r="A161" s="218"/>
      <c r="B161" s="218"/>
      <c r="C161" s="218"/>
      <c r="D161" s="218"/>
      <c r="E161" s="218"/>
      <c r="F161" s="218"/>
      <c r="G161" s="218"/>
      <c r="H161" s="218"/>
      <c r="I161" s="216"/>
      <c r="J161" s="217"/>
      <c r="K161" s="212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</row>
    <row r="162" ht="15.75" customHeight="1">
      <c r="A162" s="218"/>
      <c r="B162" s="218"/>
      <c r="C162" s="218"/>
      <c r="D162" s="218"/>
      <c r="E162" s="218"/>
      <c r="F162" s="218"/>
      <c r="G162" s="218"/>
      <c r="H162" s="218"/>
      <c r="I162" s="216"/>
      <c r="J162" s="217"/>
      <c r="K162" s="212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</row>
    <row r="163" ht="15.75" customHeight="1">
      <c r="A163" s="218"/>
      <c r="B163" s="218"/>
      <c r="C163" s="218"/>
      <c r="D163" s="218"/>
      <c r="E163" s="218"/>
      <c r="F163" s="218"/>
      <c r="G163" s="218"/>
      <c r="H163" s="218"/>
      <c r="I163" s="216"/>
      <c r="J163" s="217"/>
      <c r="K163" s="212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</row>
    <row r="164" ht="15.75" customHeight="1">
      <c r="A164" s="218"/>
      <c r="B164" s="218"/>
      <c r="C164" s="218"/>
      <c r="D164" s="218"/>
      <c r="E164" s="218"/>
      <c r="F164" s="218"/>
      <c r="G164" s="218"/>
      <c r="H164" s="218"/>
      <c r="I164" s="216"/>
      <c r="J164" s="217"/>
      <c r="K164" s="212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</row>
    <row r="165" ht="15.75" customHeight="1">
      <c r="A165" s="218"/>
      <c r="B165" s="218"/>
      <c r="C165" s="218"/>
      <c r="D165" s="218"/>
      <c r="E165" s="218"/>
      <c r="F165" s="218"/>
      <c r="G165" s="218"/>
      <c r="H165" s="218"/>
      <c r="I165" s="216"/>
      <c r="J165" s="217"/>
      <c r="K165" s="212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</row>
    <row r="166" ht="15.75" customHeight="1">
      <c r="A166" s="218"/>
      <c r="B166" s="218"/>
      <c r="C166" s="218"/>
      <c r="D166" s="218"/>
      <c r="E166" s="218"/>
      <c r="F166" s="218"/>
      <c r="G166" s="218"/>
      <c r="H166" s="218"/>
      <c r="I166" s="216"/>
      <c r="J166" s="217"/>
      <c r="K166" s="212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</row>
    <row r="167" ht="15.75" customHeight="1">
      <c r="A167" s="218"/>
      <c r="B167" s="218"/>
      <c r="C167" s="218"/>
      <c r="D167" s="218"/>
      <c r="E167" s="218"/>
      <c r="F167" s="218"/>
      <c r="G167" s="218"/>
      <c r="H167" s="218"/>
      <c r="I167" s="216"/>
      <c r="J167" s="217"/>
      <c r="K167" s="212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</row>
    <row r="168" ht="15.75" customHeight="1">
      <c r="A168" s="218"/>
      <c r="B168" s="218"/>
      <c r="C168" s="218"/>
      <c r="D168" s="218"/>
      <c r="E168" s="218"/>
      <c r="F168" s="218"/>
      <c r="G168" s="218"/>
      <c r="H168" s="218"/>
      <c r="I168" s="216"/>
      <c r="J168" s="217"/>
      <c r="K168" s="212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</row>
    <row r="169" ht="15.75" customHeight="1">
      <c r="A169" s="218"/>
      <c r="B169" s="218"/>
      <c r="C169" s="218"/>
      <c r="D169" s="218"/>
      <c r="E169" s="218"/>
      <c r="F169" s="218"/>
      <c r="G169" s="218"/>
      <c r="H169" s="218"/>
      <c r="I169" s="216"/>
      <c r="J169" s="217"/>
      <c r="K169" s="212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</row>
    <row r="170" ht="15.75" customHeight="1">
      <c r="A170" s="218"/>
      <c r="B170" s="218"/>
      <c r="C170" s="218"/>
      <c r="D170" s="218"/>
      <c r="E170" s="218"/>
      <c r="F170" s="218"/>
      <c r="G170" s="218"/>
      <c r="H170" s="218"/>
      <c r="I170" s="216"/>
      <c r="J170" s="217"/>
      <c r="K170" s="212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</row>
    <row r="171" ht="15.75" customHeight="1">
      <c r="A171" s="218"/>
      <c r="B171" s="218"/>
      <c r="C171" s="218"/>
      <c r="D171" s="218"/>
      <c r="E171" s="218"/>
      <c r="F171" s="218"/>
      <c r="G171" s="218"/>
      <c r="H171" s="218"/>
      <c r="I171" s="216"/>
      <c r="J171" s="217"/>
      <c r="K171" s="212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</row>
    <row r="172" ht="15.75" customHeight="1">
      <c r="A172" s="218"/>
      <c r="B172" s="218"/>
      <c r="C172" s="218"/>
      <c r="D172" s="218"/>
      <c r="E172" s="218"/>
      <c r="F172" s="218"/>
      <c r="G172" s="218"/>
      <c r="H172" s="218"/>
      <c r="I172" s="216"/>
      <c r="J172" s="217"/>
      <c r="K172" s="212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</row>
    <row r="173" ht="15.75" customHeight="1">
      <c r="A173" s="218"/>
      <c r="B173" s="218"/>
      <c r="C173" s="218"/>
      <c r="D173" s="218"/>
      <c r="E173" s="218"/>
      <c r="F173" s="218"/>
      <c r="G173" s="218"/>
      <c r="H173" s="218"/>
      <c r="I173" s="216"/>
      <c r="J173" s="217"/>
      <c r="K173" s="212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</row>
    <row r="174" ht="15.75" customHeight="1">
      <c r="A174" s="218"/>
      <c r="B174" s="218"/>
      <c r="C174" s="218"/>
      <c r="D174" s="218"/>
      <c r="E174" s="218"/>
      <c r="F174" s="218"/>
      <c r="G174" s="218"/>
      <c r="H174" s="218"/>
      <c r="I174" s="216"/>
      <c r="J174" s="217"/>
      <c r="K174" s="212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</row>
    <row r="175" ht="15.75" customHeight="1">
      <c r="A175" s="218"/>
      <c r="B175" s="218"/>
      <c r="C175" s="218"/>
      <c r="D175" s="218"/>
      <c r="E175" s="218"/>
      <c r="F175" s="218"/>
      <c r="G175" s="218"/>
      <c r="H175" s="218"/>
      <c r="I175" s="216"/>
      <c r="J175" s="217"/>
      <c r="K175" s="212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</row>
    <row r="176" ht="15.75" customHeight="1">
      <c r="A176" s="218"/>
      <c r="B176" s="218"/>
      <c r="C176" s="218"/>
      <c r="D176" s="218"/>
      <c r="E176" s="218"/>
      <c r="F176" s="218"/>
      <c r="G176" s="218"/>
      <c r="H176" s="218"/>
      <c r="I176" s="216"/>
      <c r="J176" s="217"/>
      <c r="K176" s="212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</row>
    <row r="177" ht="15.75" customHeight="1">
      <c r="A177" s="218"/>
      <c r="B177" s="218"/>
      <c r="C177" s="218"/>
      <c r="D177" s="218"/>
      <c r="E177" s="218"/>
      <c r="F177" s="218"/>
      <c r="G177" s="218"/>
      <c r="H177" s="218"/>
      <c r="I177" s="216"/>
      <c r="J177" s="217"/>
      <c r="K177" s="212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</row>
    <row r="178" ht="15.75" customHeight="1">
      <c r="A178" s="218"/>
      <c r="B178" s="218"/>
      <c r="C178" s="218"/>
      <c r="D178" s="218"/>
      <c r="E178" s="218"/>
      <c r="F178" s="218"/>
      <c r="G178" s="218"/>
      <c r="H178" s="218"/>
      <c r="I178" s="216"/>
      <c r="J178" s="217"/>
      <c r="K178" s="212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</row>
    <row r="179" ht="15.75" customHeight="1">
      <c r="A179" s="218"/>
      <c r="B179" s="218"/>
      <c r="C179" s="218"/>
      <c r="D179" s="218"/>
      <c r="E179" s="218"/>
      <c r="F179" s="218"/>
      <c r="G179" s="218"/>
      <c r="H179" s="218"/>
      <c r="I179" s="216"/>
      <c r="J179" s="217"/>
      <c r="K179" s="212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</row>
    <row r="180" ht="15.75" customHeight="1">
      <c r="A180" s="218"/>
      <c r="B180" s="218"/>
      <c r="C180" s="218"/>
      <c r="D180" s="218"/>
      <c r="E180" s="218"/>
      <c r="F180" s="218"/>
      <c r="G180" s="218"/>
      <c r="H180" s="218"/>
      <c r="I180" s="216"/>
      <c r="J180" s="217"/>
      <c r="K180" s="212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</row>
    <row r="181" ht="15.75" customHeight="1">
      <c r="A181" s="218"/>
      <c r="B181" s="218"/>
      <c r="C181" s="218"/>
      <c r="D181" s="218"/>
      <c r="E181" s="218"/>
      <c r="F181" s="218"/>
      <c r="G181" s="218"/>
      <c r="H181" s="218"/>
      <c r="I181" s="216"/>
      <c r="J181" s="217"/>
      <c r="K181" s="212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</row>
    <row r="182" ht="15.75" customHeight="1">
      <c r="A182" s="218"/>
      <c r="B182" s="218"/>
      <c r="C182" s="218"/>
      <c r="D182" s="218"/>
      <c r="E182" s="218"/>
      <c r="F182" s="218"/>
      <c r="G182" s="218"/>
      <c r="H182" s="218"/>
      <c r="I182" s="216"/>
      <c r="J182" s="217"/>
      <c r="K182" s="212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</row>
    <row r="183" ht="15.75" customHeight="1">
      <c r="A183" s="218"/>
      <c r="B183" s="218"/>
      <c r="C183" s="218"/>
      <c r="D183" s="218"/>
      <c r="E183" s="218"/>
      <c r="F183" s="218"/>
      <c r="G183" s="218"/>
      <c r="H183" s="218"/>
      <c r="I183" s="216"/>
      <c r="J183" s="217"/>
      <c r="K183" s="212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</row>
    <row r="184" ht="15.75" customHeight="1">
      <c r="A184" s="218"/>
      <c r="B184" s="218"/>
      <c r="C184" s="218"/>
      <c r="D184" s="218"/>
      <c r="E184" s="218"/>
      <c r="F184" s="218"/>
      <c r="G184" s="218"/>
      <c r="H184" s="218"/>
      <c r="I184" s="216"/>
      <c r="J184" s="217"/>
      <c r="K184" s="212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</row>
    <row r="185" ht="15.75" customHeight="1">
      <c r="A185" s="218"/>
      <c r="B185" s="218"/>
      <c r="C185" s="218"/>
      <c r="D185" s="218"/>
      <c r="E185" s="218"/>
      <c r="F185" s="218"/>
      <c r="G185" s="218"/>
      <c r="H185" s="218"/>
      <c r="I185" s="216"/>
      <c r="J185" s="217"/>
      <c r="K185" s="212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</row>
    <row r="186" ht="15.75" customHeight="1">
      <c r="A186" s="184"/>
      <c r="B186" s="184"/>
      <c r="C186" s="184"/>
      <c r="D186" s="184"/>
      <c r="E186" s="184"/>
      <c r="F186" s="184"/>
      <c r="G186" s="184"/>
      <c r="H186" s="184"/>
      <c r="I186" s="219"/>
      <c r="J186" s="189"/>
      <c r="K186" s="184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</row>
    <row r="187" ht="15.75" customHeight="1">
      <c r="A187" s="184"/>
      <c r="B187" s="184"/>
      <c r="C187" s="184"/>
      <c r="D187" s="184"/>
      <c r="E187" s="184"/>
      <c r="F187" s="184"/>
      <c r="G187" s="184"/>
      <c r="H187" s="184"/>
      <c r="I187" s="219"/>
      <c r="J187" s="189"/>
      <c r="K187" s="184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</row>
    <row r="188" ht="15.75" customHeight="1">
      <c r="A188" s="184"/>
      <c r="B188" s="184"/>
      <c r="C188" s="184"/>
      <c r="D188" s="184"/>
      <c r="E188" s="184"/>
      <c r="F188" s="184"/>
      <c r="G188" s="184"/>
      <c r="H188" s="184"/>
      <c r="I188" s="219"/>
      <c r="J188" s="189"/>
      <c r="K188" s="184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</row>
    <row r="189" ht="15.75" customHeight="1">
      <c r="A189" s="184"/>
      <c r="B189" s="184"/>
      <c r="C189" s="184"/>
      <c r="D189" s="184"/>
      <c r="E189" s="184"/>
      <c r="F189" s="184"/>
      <c r="G189" s="184"/>
      <c r="H189" s="184"/>
      <c r="I189" s="219"/>
      <c r="J189" s="189"/>
      <c r="K189" s="184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</row>
    <row r="190" ht="15.75" customHeight="1">
      <c r="A190" s="184"/>
      <c r="B190" s="184"/>
      <c r="C190" s="184"/>
      <c r="D190" s="184"/>
      <c r="E190" s="184"/>
      <c r="F190" s="184"/>
      <c r="G190" s="184"/>
      <c r="H190" s="184"/>
      <c r="I190" s="219"/>
      <c r="J190" s="189"/>
      <c r="K190" s="184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</row>
    <row r="191" ht="15.75" customHeight="1">
      <c r="A191" s="184"/>
      <c r="B191" s="184"/>
      <c r="C191" s="184"/>
      <c r="D191" s="184"/>
      <c r="E191" s="184"/>
      <c r="F191" s="184"/>
      <c r="G191" s="184"/>
      <c r="H191" s="184"/>
      <c r="I191" s="219"/>
      <c r="J191" s="189"/>
      <c r="K191" s="184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</row>
    <row r="192" ht="15.75" customHeight="1">
      <c r="A192" s="184"/>
      <c r="B192" s="184"/>
      <c r="C192" s="184"/>
      <c r="D192" s="184"/>
      <c r="E192" s="184"/>
      <c r="F192" s="184"/>
      <c r="G192" s="184"/>
      <c r="H192" s="184"/>
      <c r="I192" s="219"/>
      <c r="J192" s="189"/>
      <c r="K192" s="184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</row>
    <row r="193" ht="15.75" customHeight="1">
      <c r="A193" s="184"/>
      <c r="B193" s="184"/>
      <c r="C193" s="184"/>
      <c r="D193" s="184"/>
      <c r="E193" s="184"/>
      <c r="F193" s="184"/>
      <c r="G193" s="184"/>
      <c r="H193" s="184"/>
      <c r="I193" s="219"/>
      <c r="J193" s="189"/>
      <c r="K193" s="184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</row>
    <row r="194" ht="15.75" customHeight="1">
      <c r="A194" s="184"/>
      <c r="B194" s="184"/>
      <c r="C194" s="184"/>
      <c r="D194" s="184"/>
      <c r="E194" s="184"/>
      <c r="F194" s="184"/>
      <c r="G194" s="184"/>
      <c r="H194" s="184"/>
      <c r="I194" s="219"/>
      <c r="J194" s="189"/>
      <c r="K194" s="184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</row>
    <row r="195" ht="15.75" customHeight="1">
      <c r="A195" s="184"/>
      <c r="B195" s="184"/>
      <c r="C195" s="184"/>
      <c r="D195" s="184"/>
      <c r="E195" s="184"/>
      <c r="F195" s="184"/>
      <c r="G195" s="184"/>
      <c r="H195" s="184"/>
      <c r="I195" s="219"/>
      <c r="J195" s="189"/>
      <c r="K195" s="184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</row>
    <row r="196" ht="15.75" customHeight="1">
      <c r="A196" s="184"/>
      <c r="B196" s="184"/>
      <c r="C196" s="184"/>
      <c r="D196" s="184"/>
      <c r="E196" s="184"/>
      <c r="F196" s="184"/>
      <c r="G196" s="184"/>
      <c r="H196" s="184"/>
      <c r="I196" s="219"/>
      <c r="J196" s="189"/>
      <c r="K196" s="184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</row>
    <row r="197" ht="15.75" customHeight="1">
      <c r="A197" s="184"/>
      <c r="B197" s="184"/>
      <c r="C197" s="184"/>
      <c r="D197" s="184"/>
      <c r="E197" s="184"/>
      <c r="F197" s="184"/>
      <c r="G197" s="184"/>
      <c r="H197" s="184"/>
      <c r="I197" s="219"/>
      <c r="J197" s="189"/>
      <c r="K197" s="184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</row>
    <row r="198" ht="15.75" customHeight="1">
      <c r="A198" s="184"/>
      <c r="B198" s="184"/>
      <c r="C198" s="184"/>
      <c r="D198" s="184"/>
      <c r="E198" s="184"/>
      <c r="F198" s="184"/>
      <c r="G198" s="184"/>
      <c r="H198" s="184"/>
      <c r="I198" s="219"/>
      <c r="J198" s="189"/>
      <c r="K198" s="184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</row>
    <row r="199" ht="15.75" customHeight="1">
      <c r="A199" s="184"/>
      <c r="B199" s="184"/>
      <c r="C199" s="184"/>
      <c r="D199" s="184"/>
      <c r="E199" s="184"/>
      <c r="F199" s="184"/>
      <c r="G199" s="184"/>
      <c r="H199" s="184"/>
      <c r="I199" s="219"/>
      <c r="J199" s="189"/>
      <c r="K199" s="184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</row>
    <row r="200" ht="15.75" customHeight="1">
      <c r="A200" s="184"/>
      <c r="B200" s="184"/>
      <c r="C200" s="184"/>
      <c r="D200" s="184"/>
      <c r="E200" s="184"/>
      <c r="F200" s="184"/>
      <c r="G200" s="184"/>
      <c r="H200" s="184"/>
      <c r="I200" s="219"/>
      <c r="J200" s="189"/>
      <c r="K200" s="184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</row>
    <row r="201" ht="15.75" customHeight="1">
      <c r="A201" s="184"/>
      <c r="B201" s="184"/>
      <c r="C201" s="184"/>
      <c r="D201" s="184"/>
      <c r="E201" s="184"/>
      <c r="F201" s="184"/>
      <c r="G201" s="184"/>
      <c r="H201" s="184"/>
      <c r="I201" s="219"/>
      <c r="J201" s="189"/>
      <c r="K201" s="184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</row>
    <row r="202" ht="15.75" customHeight="1">
      <c r="A202" s="184"/>
      <c r="B202" s="184"/>
      <c r="C202" s="184"/>
      <c r="D202" s="184"/>
      <c r="E202" s="184"/>
      <c r="F202" s="184"/>
      <c r="G202" s="184"/>
      <c r="H202" s="184"/>
      <c r="I202" s="219"/>
      <c r="J202" s="189"/>
      <c r="K202" s="184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</row>
    <row r="203" ht="15.75" customHeight="1">
      <c r="A203" s="184"/>
      <c r="B203" s="184"/>
      <c r="C203" s="184"/>
      <c r="D203" s="184"/>
      <c r="E203" s="184"/>
      <c r="F203" s="184"/>
      <c r="G203" s="184"/>
      <c r="H203" s="184"/>
      <c r="I203" s="219"/>
      <c r="J203" s="189"/>
      <c r="K203" s="184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</row>
    <row r="204" ht="15.75" customHeight="1">
      <c r="A204" s="184"/>
      <c r="B204" s="184"/>
      <c r="C204" s="184"/>
      <c r="D204" s="184"/>
      <c r="E204" s="184"/>
      <c r="F204" s="184"/>
      <c r="G204" s="184"/>
      <c r="H204" s="184"/>
      <c r="I204" s="219"/>
      <c r="J204" s="189"/>
      <c r="K204" s="184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</row>
    <row r="205" ht="15.75" customHeight="1">
      <c r="A205" s="184"/>
      <c r="B205" s="184"/>
      <c r="C205" s="184"/>
      <c r="D205" s="184"/>
      <c r="E205" s="184"/>
      <c r="F205" s="184"/>
      <c r="G205" s="184"/>
      <c r="H205" s="184"/>
      <c r="I205" s="219"/>
      <c r="J205" s="189"/>
      <c r="K205" s="184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</row>
    <row r="206" ht="15.75" customHeight="1">
      <c r="A206" s="184"/>
      <c r="B206" s="184"/>
      <c r="C206" s="184"/>
      <c r="D206" s="184"/>
      <c r="E206" s="184"/>
      <c r="F206" s="184"/>
      <c r="G206" s="184"/>
      <c r="H206" s="184"/>
      <c r="I206" s="219"/>
      <c r="J206" s="189"/>
      <c r="K206" s="184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</row>
    <row r="207" ht="15.75" customHeight="1">
      <c r="A207" s="184"/>
      <c r="B207" s="184"/>
      <c r="C207" s="184"/>
      <c r="D207" s="184"/>
      <c r="E207" s="184"/>
      <c r="F207" s="184"/>
      <c r="G207" s="184"/>
      <c r="H207" s="184"/>
      <c r="I207" s="219"/>
      <c r="J207" s="189"/>
      <c r="K207" s="184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</row>
    <row r="208" ht="15.75" customHeight="1">
      <c r="A208" s="184"/>
      <c r="B208" s="184"/>
      <c r="C208" s="184"/>
      <c r="D208" s="184"/>
      <c r="E208" s="184"/>
      <c r="F208" s="184"/>
      <c r="G208" s="184"/>
      <c r="H208" s="184"/>
      <c r="I208" s="219"/>
      <c r="J208" s="189"/>
      <c r="K208" s="184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</row>
    <row r="209" ht="15.75" customHeight="1">
      <c r="A209" s="184"/>
      <c r="B209" s="184"/>
      <c r="C209" s="184"/>
      <c r="D209" s="184"/>
      <c r="E209" s="184"/>
      <c r="F209" s="184"/>
      <c r="G209" s="184"/>
      <c r="H209" s="184"/>
      <c r="I209" s="219"/>
      <c r="J209" s="189"/>
      <c r="K209" s="184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</row>
    <row r="210" ht="15.75" customHeight="1">
      <c r="A210" s="184"/>
      <c r="B210" s="184"/>
      <c r="C210" s="184"/>
      <c r="D210" s="184"/>
      <c r="E210" s="184"/>
      <c r="F210" s="184"/>
      <c r="G210" s="184"/>
      <c r="H210" s="184"/>
      <c r="I210" s="219"/>
      <c r="J210" s="189"/>
      <c r="K210" s="184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</row>
    <row r="211" ht="15.75" customHeight="1">
      <c r="A211" s="184"/>
      <c r="B211" s="184"/>
      <c r="C211" s="184"/>
      <c r="D211" s="184"/>
      <c r="E211" s="184"/>
      <c r="F211" s="184"/>
      <c r="G211" s="184"/>
      <c r="H211" s="184"/>
      <c r="I211" s="219"/>
      <c r="J211" s="189"/>
      <c r="K211" s="184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</row>
    <row r="212" ht="15.75" customHeight="1">
      <c r="A212" s="184"/>
      <c r="B212" s="184"/>
      <c r="C212" s="184"/>
      <c r="D212" s="184"/>
      <c r="E212" s="184"/>
      <c r="F212" s="184"/>
      <c r="G212" s="184"/>
      <c r="H212" s="184"/>
      <c r="I212" s="219"/>
      <c r="J212" s="189"/>
      <c r="K212" s="184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</row>
    <row r="213" ht="15.75" customHeight="1">
      <c r="A213" s="184"/>
      <c r="B213" s="184"/>
      <c r="C213" s="184"/>
      <c r="D213" s="184"/>
      <c r="E213" s="184"/>
      <c r="F213" s="184"/>
      <c r="G213" s="184"/>
      <c r="H213" s="184"/>
      <c r="I213" s="219"/>
      <c r="J213" s="189"/>
      <c r="K213" s="184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</row>
    <row r="214" ht="15.75" customHeight="1">
      <c r="A214" s="184"/>
      <c r="B214" s="184"/>
      <c r="C214" s="184"/>
      <c r="D214" s="184"/>
      <c r="E214" s="184"/>
      <c r="F214" s="184"/>
      <c r="G214" s="184"/>
      <c r="H214" s="184"/>
      <c r="I214" s="219"/>
      <c r="J214" s="189"/>
      <c r="K214" s="184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</row>
    <row r="215" ht="15.75" customHeight="1">
      <c r="A215" s="184"/>
      <c r="B215" s="184"/>
      <c r="C215" s="184"/>
      <c r="D215" s="184"/>
      <c r="E215" s="184"/>
      <c r="F215" s="184"/>
      <c r="G215" s="184"/>
      <c r="H215" s="184"/>
      <c r="I215" s="219"/>
      <c r="J215" s="189"/>
      <c r="K215" s="184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</row>
    <row r="216" ht="15.75" customHeight="1">
      <c r="A216" s="184"/>
      <c r="B216" s="184"/>
      <c r="C216" s="184"/>
      <c r="D216" s="184"/>
      <c r="E216" s="184"/>
      <c r="F216" s="184"/>
      <c r="G216" s="184"/>
      <c r="H216" s="184"/>
      <c r="I216" s="219"/>
      <c r="J216" s="189"/>
      <c r="K216" s="184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</row>
    <row r="217" ht="15.75" customHeight="1">
      <c r="A217" s="184"/>
      <c r="B217" s="184"/>
      <c r="C217" s="184"/>
      <c r="D217" s="184"/>
      <c r="E217" s="184"/>
      <c r="F217" s="184"/>
      <c r="G217" s="184"/>
      <c r="H217" s="184"/>
      <c r="I217" s="219"/>
      <c r="J217" s="189"/>
      <c r="K217" s="184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</row>
    <row r="218" ht="15.75" customHeight="1">
      <c r="A218" s="184"/>
      <c r="B218" s="184"/>
      <c r="C218" s="184"/>
      <c r="D218" s="184"/>
      <c r="E218" s="184"/>
      <c r="F218" s="184"/>
      <c r="G218" s="184"/>
      <c r="H218" s="184"/>
      <c r="I218" s="219"/>
      <c r="J218" s="189"/>
      <c r="K218" s="184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</row>
    <row r="219" ht="15.75" customHeight="1">
      <c r="A219" s="184"/>
      <c r="B219" s="184"/>
      <c r="C219" s="184"/>
      <c r="D219" s="184"/>
      <c r="E219" s="184"/>
      <c r="F219" s="184"/>
      <c r="G219" s="184"/>
      <c r="H219" s="184"/>
      <c r="I219" s="219"/>
      <c r="J219" s="189"/>
      <c r="K219" s="184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</row>
    <row r="220" ht="15.75" customHeight="1">
      <c r="A220" s="184"/>
      <c r="B220" s="184"/>
      <c r="C220" s="184"/>
      <c r="D220" s="184"/>
      <c r="E220" s="184"/>
      <c r="F220" s="184"/>
      <c r="G220" s="184"/>
      <c r="H220" s="184"/>
      <c r="I220" s="219"/>
      <c r="J220" s="189"/>
      <c r="K220" s="184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</row>
    <row r="221" ht="15.75" customHeight="1">
      <c r="A221" s="184"/>
      <c r="B221" s="184"/>
      <c r="C221" s="184"/>
      <c r="D221" s="184"/>
      <c r="E221" s="184"/>
      <c r="F221" s="184"/>
      <c r="G221" s="184"/>
      <c r="H221" s="184"/>
      <c r="I221" s="219"/>
      <c r="J221" s="189"/>
      <c r="K221" s="184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</row>
    <row r="222" ht="15.75" customHeight="1">
      <c r="A222" s="184"/>
      <c r="B222" s="184"/>
      <c r="C222" s="184"/>
      <c r="D222" s="184"/>
      <c r="E222" s="184"/>
      <c r="F222" s="184"/>
      <c r="G222" s="184"/>
      <c r="H222" s="184"/>
      <c r="I222" s="219"/>
      <c r="J222" s="189"/>
      <c r="K222" s="184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</row>
    <row r="223" ht="15.75" customHeight="1">
      <c r="A223" s="184"/>
      <c r="B223" s="184"/>
      <c r="C223" s="184"/>
      <c r="D223" s="184"/>
      <c r="E223" s="184"/>
      <c r="F223" s="184"/>
      <c r="G223" s="184"/>
      <c r="H223" s="184"/>
      <c r="I223" s="219"/>
      <c r="J223" s="189"/>
      <c r="K223" s="184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</row>
    <row r="224" ht="15.75" customHeight="1">
      <c r="A224" s="184"/>
      <c r="B224" s="184"/>
      <c r="C224" s="184"/>
      <c r="D224" s="184"/>
      <c r="E224" s="184"/>
      <c r="F224" s="184"/>
      <c r="G224" s="184"/>
      <c r="H224" s="184"/>
      <c r="I224" s="219"/>
      <c r="J224" s="189"/>
      <c r="K224" s="184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</row>
    <row r="225" ht="15.75" customHeight="1">
      <c r="A225" s="184"/>
      <c r="B225" s="184"/>
      <c r="C225" s="184"/>
      <c r="D225" s="184"/>
      <c r="E225" s="184"/>
      <c r="F225" s="184"/>
      <c r="G225" s="184"/>
      <c r="H225" s="184"/>
      <c r="I225" s="219"/>
      <c r="J225" s="189"/>
      <c r="K225" s="184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</row>
    <row r="226" ht="15.75" customHeight="1">
      <c r="A226" s="184"/>
      <c r="B226" s="184"/>
      <c r="C226" s="184"/>
      <c r="D226" s="184"/>
      <c r="E226" s="184"/>
      <c r="F226" s="184"/>
      <c r="G226" s="184"/>
      <c r="H226" s="184"/>
      <c r="I226" s="219"/>
      <c r="J226" s="189"/>
      <c r="K226" s="184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</row>
    <row r="227" ht="15.75" customHeight="1">
      <c r="A227" s="184"/>
      <c r="B227" s="184"/>
      <c r="C227" s="184"/>
      <c r="D227" s="184"/>
      <c r="E227" s="184"/>
      <c r="F227" s="184"/>
      <c r="G227" s="184"/>
      <c r="H227" s="184"/>
      <c r="I227" s="219"/>
      <c r="J227" s="189"/>
      <c r="K227" s="184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</row>
    <row r="228" ht="15.75" customHeight="1">
      <c r="A228" s="184"/>
      <c r="B228" s="184"/>
      <c r="C228" s="184"/>
      <c r="D228" s="184"/>
      <c r="E228" s="184"/>
      <c r="F228" s="184"/>
      <c r="G228" s="184"/>
      <c r="H228" s="184"/>
      <c r="I228" s="219"/>
      <c r="J228" s="189"/>
      <c r="K228" s="184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</row>
    <row r="229" ht="15.75" customHeight="1">
      <c r="A229" s="184"/>
      <c r="B229" s="184"/>
      <c r="C229" s="184"/>
      <c r="D229" s="184"/>
      <c r="E229" s="184"/>
      <c r="F229" s="184"/>
      <c r="G229" s="184"/>
      <c r="H229" s="184"/>
      <c r="I229" s="219"/>
      <c r="J229" s="189"/>
      <c r="K229" s="184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</row>
    <row r="230" ht="15.75" customHeight="1">
      <c r="A230" s="184"/>
      <c r="B230" s="184"/>
      <c r="C230" s="184"/>
      <c r="D230" s="184"/>
      <c r="E230" s="184"/>
      <c r="F230" s="184"/>
      <c r="G230" s="184"/>
      <c r="H230" s="184"/>
      <c r="I230" s="219"/>
      <c r="J230" s="189"/>
      <c r="K230" s="184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</row>
    <row r="231" ht="15.75" customHeight="1">
      <c r="A231" s="184"/>
      <c r="B231" s="184"/>
      <c r="C231" s="184"/>
      <c r="D231" s="184"/>
      <c r="E231" s="184"/>
      <c r="F231" s="184"/>
      <c r="G231" s="184"/>
      <c r="H231" s="184"/>
      <c r="I231" s="219"/>
      <c r="J231" s="189"/>
      <c r="K231" s="184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</row>
    <row r="232" ht="15.75" customHeight="1">
      <c r="A232" s="184"/>
      <c r="B232" s="184"/>
      <c r="C232" s="184"/>
      <c r="D232" s="184"/>
      <c r="E232" s="184"/>
      <c r="F232" s="184"/>
      <c r="G232" s="184"/>
      <c r="H232" s="184"/>
      <c r="I232" s="219"/>
      <c r="J232" s="189"/>
      <c r="K232" s="184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</row>
    <row r="233" ht="15.75" customHeight="1">
      <c r="A233" s="184"/>
      <c r="B233" s="184"/>
      <c r="C233" s="184"/>
      <c r="D233" s="184"/>
      <c r="E233" s="184"/>
      <c r="F233" s="184"/>
      <c r="G233" s="184"/>
      <c r="H233" s="184"/>
      <c r="I233" s="219"/>
      <c r="J233" s="189"/>
      <c r="K233" s="184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</row>
    <row r="234" ht="15.75" customHeight="1">
      <c r="A234" s="184"/>
      <c r="B234" s="184"/>
      <c r="C234" s="184"/>
      <c r="D234" s="184"/>
      <c r="E234" s="184"/>
      <c r="F234" s="184"/>
      <c r="G234" s="184"/>
      <c r="H234" s="184"/>
      <c r="I234" s="219"/>
      <c r="J234" s="189"/>
      <c r="K234" s="184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</row>
    <row r="235" ht="15.75" customHeight="1">
      <c r="A235" s="184"/>
      <c r="B235" s="184"/>
      <c r="C235" s="184"/>
      <c r="D235" s="184"/>
      <c r="E235" s="184"/>
      <c r="F235" s="184"/>
      <c r="G235" s="184"/>
      <c r="H235" s="184"/>
      <c r="I235" s="219"/>
      <c r="J235" s="189"/>
      <c r="K235" s="184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</row>
    <row r="236" ht="15.75" customHeight="1">
      <c r="A236" s="184"/>
      <c r="B236" s="184"/>
      <c r="C236" s="184"/>
      <c r="D236" s="184"/>
      <c r="E236" s="184"/>
      <c r="F236" s="184"/>
      <c r="G236" s="184"/>
      <c r="H236" s="184"/>
      <c r="I236" s="219"/>
      <c r="J236" s="189"/>
      <c r="K236" s="184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</row>
    <row r="237" ht="15.75" customHeight="1">
      <c r="A237" s="184"/>
      <c r="B237" s="184"/>
      <c r="C237" s="184"/>
      <c r="D237" s="184"/>
      <c r="E237" s="184"/>
      <c r="F237" s="184"/>
      <c r="G237" s="184"/>
      <c r="H237" s="184"/>
      <c r="I237" s="219"/>
      <c r="J237" s="189"/>
      <c r="K237" s="184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</row>
    <row r="238" ht="15.75" customHeight="1">
      <c r="A238" s="184"/>
      <c r="B238" s="184"/>
      <c r="C238" s="184"/>
      <c r="D238" s="184"/>
      <c r="E238" s="184"/>
      <c r="F238" s="184"/>
      <c r="G238" s="184"/>
      <c r="H238" s="184"/>
      <c r="I238" s="219"/>
      <c r="J238" s="189"/>
      <c r="K238" s="184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</row>
    <row r="239" ht="15.75" customHeight="1">
      <c r="A239" s="184"/>
      <c r="B239" s="184"/>
      <c r="C239" s="184"/>
      <c r="D239" s="184"/>
      <c r="E239" s="184"/>
      <c r="F239" s="184"/>
      <c r="G239" s="184"/>
      <c r="H239" s="184"/>
      <c r="I239" s="219"/>
      <c r="J239" s="189"/>
      <c r="K239" s="184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</row>
    <row r="240" ht="15.75" customHeight="1">
      <c r="A240" s="184"/>
      <c r="B240" s="184"/>
      <c r="C240" s="184"/>
      <c r="D240" s="184"/>
      <c r="E240" s="184"/>
      <c r="F240" s="184"/>
      <c r="G240" s="184"/>
      <c r="H240" s="184"/>
      <c r="I240" s="219"/>
      <c r="J240" s="189"/>
      <c r="K240" s="184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</row>
    <row r="241" ht="15.75" customHeight="1">
      <c r="A241" s="184"/>
      <c r="B241" s="184"/>
      <c r="C241" s="184"/>
      <c r="D241" s="184"/>
      <c r="E241" s="184"/>
      <c r="F241" s="184"/>
      <c r="G241" s="184"/>
      <c r="H241" s="184"/>
      <c r="I241" s="219"/>
      <c r="J241" s="189"/>
      <c r="K241" s="184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</row>
    <row r="242" ht="15.75" customHeight="1">
      <c r="A242" s="184"/>
      <c r="B242" s="184"/>
      <c r="C242" s="184"/>
      <c r="D242" s="184"/>
      <c r="E242" s="184"/>
      <c r="F242" s="184"/>
      <c r="G242" s="184"/>
      <c r="H242" s="184"/>
      <c r="I242" s="219"/>
      <c r="J242" s="189"/>
      <c r="K242" s="184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</row>
    <row r="243" ht="15.75" customHeight="1">
      <c r="A243" s="184"/>
      <c r="B243" s="184"/>
      <c r="C243" s="184"/>
      <c r="D243" s="184"/>
      <c r="E243" s="184"/>
      <c r="F243" s="184"/>
      <c r="G243" s="184"/>
      <c r="H243" s="184"/>
      <c r="I243" s="219"/>
      <c r="J243" s="189"/>
      <c r="K243" s="184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</row>
    <row r="244" ht="15.75" customHeight="1">
      <c r="A244" s="184"/>
      <c r="B244" s="184"/>
      <c r="C244" s="184"/>
      <c r="D244" s="184"/>
      <c r="E244" s="184"/>
      <c r="F244" s="184"/>
      <c r="G244" s="184"/>
      <c r="H244" s="184"/>
      <c r="I244" s="219"/>
      <c r="J244" s="189"/>
      <c r="K244" s="184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</row>
    <row r="245" ht="15.75" customHeight="1">
      <c r="A245" s="184"/>
      <c r="B245" s="184"/>
      <c r="C245" s="184"/>
      <c r="D245" s="184"/>
      <c r="E245" s="184"/>
      <c r="F245" s="184"/>
      <c r="G245" s="184"/>
      <c r="H245" s="184"/>
      <c r="I245" s="219"/>
      <c r="J245" s="189"/>
      <c r="K245" s="184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</row>
    <row r="246" ht="15.75" customHeight="1">
      <c r="A246" s="184"/>
      <c r="B246" s="184"/>
      <c r="C246" s="184"/>
      <c r="D246" s="184"/>
      <c r="E246" s="184"/>
      <c r="F246" s="184"/>
      <c r="G246" s="184"/>
      <c r="H246" s="184"/>
      <c r="I246" s="219"/>
      <c r="J246" s="189"/>
      <c r="K246" s="184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</row>
    <row r="247" ht="15.75" customHeight="1">
      <c r="A247" s="184"/>
      <c r="B247" s="184"/>
      <c r="C247" s="184"/>
      <c r="D247" s="184"/>
      <c r="E247" s="184"/>
      <c r="F247" s="184"/>
      <c r="G247" s="184"/>
      <c r="H247" s="184"/>
      <c r="I247" s="219"/>
      <c r="J247" s="189"/>
      <c r="K247" s="184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</row>
    <row r="248" ht="15.75" customHeight="1">
      <c r="A248" s="184"/>
      <c r="B248" s="184"/>
      <c r="C248" s="184"/>
      <c r="D248" s="184"/>
      <c r="E248" s="184"/>
      <c r="F248" s="184"/>
      <c r="G248" s="184"/>
      <c r="H248" s="184"/>
      <c r="I248" s="219"/>
      <c r="J248" s="189"/>
      <c r="K248" s="184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</row>
    <row r="249" ht="15.75" customHeight="1">
      <c r="A249" s="184"/>
      <c r="B249" s="184"/>
      <c r="C249" s="184"/>
      <c r="D249" s="184"/>
      <c r="E249" s="184"/>
      <c r="F249" s="184"/>
      <c r="G249" s="184"/>
      <c r="H249" s="184"/>
      <c r="I249" s="219"/>
      <c r="J249" s="189"/>
      <c r="K249" s="184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</row>
    <row r="250" ht="15.75" customHeight="1">
      <c r="A250" s="184"/>
      <c r="B250" s="184"/>
      <c r="C250" s="184"/>
      <c r="D250" s="184"/>
      <c r="E250" s="184"/>
      <c r="F250" s="184"/>
      <c r="G250" s="184"/>
      <c r="H250" s="184"/>
      <c r="I250" s="219"/>
      <c r="J250" s="189"/>
      <c r="K250" s="184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</row>
    <row r="251" ht="15.75" customHeight="1">
      <c r="A251" s="184"/>
      <c r="B251" s="184"/>
      <c r="C251" s="184"/>
      <c r="D251" s="184"/>
      <c r="E251" s="184"/>
      <c r="F251" s="184"/>
      <c r="G251" s="184"/>
      <c r="H251" s="184"/>
      <c r="I251" s="219"/>
      <c r="J251" s="189"/>
      <c r="K251" s="184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</row>
    <row r="252" ht="15.75" customHeight="1">
      <c r="A252" s="184"/>
      <c r="B252" s="184"/>
      <c r="C252" s="184"/>
      <c r="D252" s="184"/>
      <c r="E252" s="184"/>
      <c r="F252" s="184"/>
      <c r="G252" s="184"/>
      <c r="H252" s="184"/>
      <c r="I252" s="219"/>
      <c r="J252" s="189"/>
      <c r="K252" s="184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</row>
    <row r="253" ht="15.75" customHeight="1">
      <c r="A253" s="184"/>
      <c r="B253" s="184"/>
      <c r="C253" s="184"/>
      <c r="D253" s="184"/>
      <c r="E253" s="184"/>
      <c r="F253" s="184"/>
      <c r="G253" s="184"/>
      <c r="H253" s="184"/>
      <c r="I253" s="219"/>
      <c r="J253" s="189"/>
      <c r="K253" s="184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</row>
    <row r="254" ht="15.75" customHeight="1">
      <c r="A254" s="184"/>
      <c r="B254" s="184"/>
      <c r="C254" s="184"/>
      <c r="D254" s="184"/>
      <c r="E254" s="184"/>
      <c r="F254" s="184"/>
      <c r="G254" s="184"/>
      <c r="H254" s="184"/>
      <c r="I254" s="219"/>
      <c r="J254" s="189"/>
      <c r="K254" s="184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</row>
    <row r="255" ht="15.75" customHeight="1">
      <c r="A255" s="184"/>
      <c r="B255" s="184"/>
      <c r="C255" s="184"/>
      <c r="D255" s="184"/>
      <c r="E255" s="184"/>
      <c r="F255" s="184"/>
      <c r="G255" s="184"/>
      <c r="H255" s="184"/>
      <c r="I255" s="219"/>
      <c r="J255" s="189"/>
      <c r="K255" s="184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</row>
    <row r="256" ht="15.75" customHeight="1">
      <c r="A256" s="184"/>
      <c r="B256" s="184"/>
      <c r="C256" s="184"/>
      <c r="D256" s="184"/>
      <c r="E256" s="184"/>
      <c r="F256" s="184"/>
      <c r="G256" s="184"/>
      <c r="H256" s="184"/>
      <c r="I256" s="219"/>
      <c r="J256" s="189"/>
      <c r="K256" s="184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</row>
    <row r="257" ht="15.75" customHeight="1">
      <c r="A257" s="184"/>
      <c r="B257" s="184"/>
      <c r="C257" s="184"/>
      <c r="D257" s="184"/>
      <c r="E257" s="184"/>
      <c r="F257" s="184"/>
      <c r="G257" s="184"/>
      <c r="H257" s="184"/>
      <c r="I257" s="219"/>
      <c r="J257" s="189"/>
      <c r="K257" s="184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</row>
    <row r="258" ht="15.75" customHeight="1">
      <c r="A258" s="184"/>
      <c r="B258" s="184"/>
      <c r="C258" s="184"/>
      <c r="D258" s="184"/>
      <c r="E258" s="184"/>
      <c r="F258" s="184"/>
      <c r="G258" s="184"/>
      <c r="H258" s="184"/>
      <c r="I258" s="219"/>
      <c r="J258" s="189"/>
      <c r="K258" s="184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</row>
    <row r="259" ht="15.75" customHeight="1">
      <c r="A259" s="184"/>
      <c r="B259" s="184"/>
      <c r="C259" s="184"/>
      <c r="D259" s="184"/>
      <c r="E259" s="184"/>
      <c r="F259" s="184"/>
      <c r="G259" s="184"/>
      <c r="H259" s="184"/>
      <c r="I259" s="219"/>
      <c r="J259" s="189"/>
      <c r="K259" s="184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</row>
    <row r="260" ht="15.75" customHeight="1">
      <c r="A260" s="184"/>
      <c r="B260" s="184"/>
      <c r="C260" s="184"/>
      <c r="D260" s="184"/>
      <c r="E260" s="184"/>
      <c r="F260" s="184"/>
      <c r="G260" s="184"/>
      <c r="H260" s="184"/>
      <c r="I260" s="219"/>
      <c r="J260" s="189"/>
      <c r="K260" s="184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</row>
    <row r="261" ht="15.75" customHeight="1">
      <c r="A261" s="184"/>
      <c r="B261" s="184"/>
      <c r="C261" s="184"/>
      <c r="D261" s="184"/>
      <c r="E261" s="184"/>
      <c r="F261" s="184"/>
      <c r="G261" s="184"/>
      <c r="H261" s="184"/>
      <c r="I261" s="219"/>
      <c r="J261" s="189"/>
      <c r="K261" s="184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</row>
    <row r="262" ht="15.75" customHeight="1">
      <c r="A262" s="184"/>
      <c r="B262" s="184"/>
      <c r="C262" s="184"/>
      <c r="D262" s="184"/>
      <c r="E262" s="184"/>
      <c r="F262" s="184"/>
      <c r="G262" s="184"/>
      <c r="H262" s="184"/>
      <c r="I262" s="219"/>
      <c r="J262" s="189"/>
      <c r="K262" s="184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</row>
    <row r="263" ht="15.75" customHeight="1">
      <c r="A263" s="184"/>
      <c r="B263" s="184"/>
      <c r="C263" s="184"/>
      <c r="D263" s="184"/>
      <c r="E263" s="184"/>
      <c r="F263" s="184"/>
      <c r="G263" s="184"/>
      <c r="H263" s="184"/>
      <c r="I263" s="219"/>
      <c r="J263" s="189"/>
      <c r="K263" s="184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</row>
    <row r="264" ht="15.75" customHeight="1">
      <c r="A264" s="184"/>
      <c r="B264" s="184"/>
      <c r="C264" s="184"/>
      <c r="D264" s="184"/>
      <c r="E264" s="184"/>
      <c r="F264" s="184"/>
      <c r="G264" s="184"/>
      <c r="H264" s="184"/>
      <c r="I264" s="219"/>
      <c r="J264" s="189"/>
      <c r="K264" s="184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</row>
    <row r="265" ht="15.75" customHeight="1">
      <c r="A265" s="184"/>
      <c r="B265" s="184"/>
      <c r="C265" s="184"/>
      <c r="D265" s="184"/>
      <c r="E265" s="184"/>
      <c r="F265" s="184"/>
      <c r="G265" s="184"/>
      <c r="H265" s="184"/>
      <c r="I265" s="219"/>
      <c r="J265" s="189"/>
      <c r="K265" s="184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</row>
    <row r="266" ht="15.75" customHeight="1">
      <c r="A266" s="184"/>
      <c r="B266" s="184"/>
      <c r="C266" s="184"/>
      <c r="D266" s="184"/>
      <c r="E266" s="184"/>
      <c r="F266" s="184"/>
      <c r="G266" s="184"/>
      <c r="H266" s="184"/>
      <c r="I266" s="219"/>
      <c r="J266" s="189"/>
      <c r="K266" s="184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</row>
    <row r="267" ht="15.75" customHeight="1">
      <c r="A267" s="184"/>
      <c r="B267" s="184"/>
      <c r="C267" s="184"/>
      <c r="D267" s="184"/>
      <c r="E267" s="184"/>
      <c r="F267" s="184"/>
      <c r="G267" s="184"/>
      <c r="H267" s="184"/>
      <c r="I267" s="219"/>
      <c r="J267" s="189"/>
      <c r="K267" s="184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</row>
    <row r="268" ht="15.75" customHeight="1">
      <c r="A268" s="184"/>
      <c r="B268" s="184"/>
      <c r="C268" s="184"/>
      <c r="D268" s="184"/>
      <c r="E268" s="184"/>
      <c r="F268" s="184"/>
      <c r="G268" s="184"/>
      <c r="H268" s="184"/>
      <c r="I268" s="219"/>
      <c r="J268" s="189"/>
      <c r="K268" s="184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</row>
    <row r="269" ht="15.75" customHeight="1">
      <c r="A269" s="184"/>
      <c r="B269" s="184"/>
      <c r="C269" s="184"/>
      <c r="D269" s="184"/>
      <c r="E269" s="184"/>
      <c r="F269" s="184"/>
      <c r="G269" s="184"/>
      <c r="H269" s="184"/>
      <c r="I269" s="219"/>
      <c r="J269" s="189"/>
      <c r="K269" s="184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</row>
    <row r="270" ht="15.75" customHeight="1">
      <c r="A270" s="184"/>
      <c r="B270" s="184"/>
      <c r="C270" s="184"/>
      <c r="D270" s="184"/>
      <c r="E270" s="184"/>
      <c r="F270" s="184"/>
      <c r="G270" s="184"/>
      <c r="H270" s="184"/>
      <c r="I270" s="219"/>
      <c r="J270" s="189"/>
      <c r="K270" s="184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</row>
    <row r="271" ht="15.75" customHeight="1">
      <c r="A271" s="184"/>
      <c r="B271" s="184"/>
      <c r="C271" s="184"/>
      <c r="D271" s="184"/>
      <c r="E271" s="184"/>
      <c r="F271" s="184"/>
      <c r="G271" s="184"/>
      <c r="H271" s="184"/>
      <c r="I271" s="219"/>
      <c r="J271" s="189"/>
      <c r="K271" s="184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</row>
    <row r="272" ht="15.75" customHeight="1">
      <c r="A272" s="184"/>
      <c r="B272" s="184"/>
      <c r="C272" s="184"/>
      <c r="D272" s="184"/>
      <c r="E272" s="184"/>
      <c r="F272" s="184"/>
      <c r="G272" s="184"/>
      <c r="H272" s="184"/>
      <c r="I272" s="219"/>
      <c r="J272" s="189"/>
      <c r="K272" s="184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</row>
    <row r="273" ht="15.75" customHeight="1">
      <c r="A273" s="184"/>
      <c r="B273" s="184"/>
      <c r="C273" s="184"/>
      <c r="D273" s="184"/>
      <c r="E273" s="184"/>
      <c r="F273" s="184"/>
      <c r="G273" s="184"/>
      <c r="H273" s="184"/>
      <c r="I273" s="219"/>
      <c r="J273" s="189"/>
      <c r="K273" s="184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</row>
    <row r="274" ht="15.75" customHeight="1">
      <c r="A274" s="184"/>
      <c r="B274" s="184"/>
      <c r="C274" s="184"/>
      <c r="D274" s="184"/>
      <c r="E274" s="184"/>
      <c r="F274" s="184"/>
      <c r="G274" s="184"/>
      <c r="H274" s="184"/>
      <c r="I274" s="219"/>
      <c r="J274" s="189"/>
      <c r="K274" s="184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</row>
    <row r="275" ht="15.75" customHeight="1">
      <c r="A275" s="184"/>
      <c r="B275" s="184"/>
      <c r="C275" s="184"/>
      <c r="D275" s="184"/>
      <c r="E275" s="184"/>
      <c r="F275" s="184"/>
      <c r="G275" s="184"/>
      <c r="H275" s="184"/>
      <c r="I275" s="219"/>
      <c r="J275" s="189"/>
      <c r="K275" s="184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</row>
    <row r="276" ht="15.75" customHeight="1">
      <c r="A276" s="184"/>
      <c r="B276" s="184"/>
      <c r="C276" s="184"/>
      <c r="D276" s="184"/>
      <c r="E276" s="184"/>
      <c r="F276" s="184"/>
      <c r="G276" s="184"/>
      <c r="H276" s="184"/>
      <c r="I276" s="219"/>
      <c r="J276" s="189"/>
      <c r="K276" s="184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</row>
    <row r="277" ht="15.75" customHeight="1">
      <c r="A277" s="184"/>
      <c r="B277" s="184"/>
      <c r="C277" s="184"/>
      <c r="D277" s="184"/>
      <c r="E277" s="184"/>
      <c r="F277" s="184"/>
      <c r="G277" s="184"/>
      <c r="H277" s="184"/>
      <c r="I277" s="219"/>
      <c r="J277" s="189"/>
      <c r="K277" s="184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</row>
    <row r="278" ht="15.75" customHeight="1">
      <c r="A278" s="184"/>
      <c r="B278" s="184"/>
      <c r="C278" s="184"/>
      <c r="D278" s="184"/>
      <c r="E278" s="184"/>
      <c r="F278" s="184"/>
      <c r="G278" s="184"/>
      <c r="H278" s="184"/>
      <c r="I278" s="219"/>
      <c r="J278" s="189"/>
      <c r="K278" s="184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</row>
    <row r="279" ht="15.75" customHeight="1">
      <c r="A279" s="184"/>
      <c r="B279" s="184"/>
      <c r="C279" s="184"/>
      <c r="D279" s="184"/>
      <c r="E279" s="184"/>
      <c r="F279" s="184"/>
      <c r="G279" s="184"/>
      <c r="H279" s="184"/>
      <c r="I279" s="219"/>
      <c r="J279" s="189"/>
      <c r="K279" s="184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</row>
    <row r="280" ht="15.75" customHeight="1">
      <c r="A280" s="184"/>
      <c r="B280" s="184"/>
      <c r="C280" s="184"/>
      <c r="D280" s="184"/>
      <c r="E280" s="184"/>
      <c r="F280" s="184"/>
      <c r="G280" s="184"/>
      <c r="H280" s="184"/>
      <c r="I280" s="219"/>
      <c r="J280" s="189"/>
      <c r="K280" s="184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</row>
    <row r="281" ht="15.75" customHeight="1">
      <c r="A281" s="184"/>
      <c r="B281" s="184"/>
      <c r="C281" s="184"/>
      <c r="D281" s="184"/>
      <c r="E281" s="184"/>
      <c r="F281" s="184"/>
      <c r="G281" s="184"/>
      <c r="H281" s="184"/>
      <c r="I281" s="219"/>
      <c r="J281" s="189"/>
      <c r="K281" s="184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</row>
    <row r="282" ht="15.75" customHeight="1">
      <c r="A282" s="184"/>
      <c r="B282" s="184"/>
      <c r="C282" s="184"/>
      <c r="D282" s="184"/>
      <c r="E282" s="184"/>
      <c r="F282" s="184"/>
      <c r="G282" s="184"/>
      <c r="H282" s="184"/>
      <c r="I282" s="219"/>
      <c r="J282" s="189"/>
      <c r="K282" s="184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</row>
    <row r="283" ht="15.75" customHeight="1">
      <c r="A283" s="184"/>
      <c r="B283" s="184"/>
      <c r="C283" s="184"/>
      <c r="D283" s="184"/>
      <c r="E283" s="184"/>
      <c r="F283" s="184"/>
      <c r="G283" s="184"/>
      <c r="H283" s="184"/>
      <c r="I283" s="219"/>
      <c r="J283" s="189"/>
      <c r="K283" s="184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</row>
    <row r="284" ht="15.75" customHeight="1">
      <c r="A284" s="184"/>
      <c r="B284" s="184"/>
      <c r="C284" s="184"/>
      <c r="D284" s="184"/>
      <c r="E284" s="184"/>
      <c r="F284" s="184"/>
      <c r="G284" s="184"/>
      <c r="H284" s="184"/>
      <c r="I284" s="219"/>
      <c r="J284" s="189"/>
      <c r="K284" s="184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</row>
    <row r="285" ht="15.75" customHeight="1">
      <c r="A285" s="184"/>
      <c r="B285" s="184"/>
      <c r="C285" s="184"/>
      <c r="D285" s="184"/>
      <c r="E285" s="184"/>
      <c r="F285" s="184"/>
      <c r="G285" s="184"/>
      <c r="H285" s="184"/>
      <c r="I285" s="219"/>
      <c r="J285" s="189"/>
      <c r="K285" s="184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6"/>
    <mergeCell ref="F1:F6"/>
    <mergeCell ref="G4:H4"/>
    <mergeCell ref="B8:D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27.29"/>
    <col customWidth="1" min="5" max="5" width="39.43"/>
    <col customWidth="1" min="6" max="6" width="31.43"/>
    <col customWidth="1" min="9" max="9" width="57.86"/>
    <col customWidth="1" min="10" max="10" width="57.57"/>
  </cols>
  <sheetData>
    <row r="1" ht="15.75" customHeight="1">
      <c r="A1" s="220"/>
      <c r="B1" s="24" t="s">
        <v>24</v>
      </c>
      <c r="C1" s="3"/>
      <c r="D1" s="42" t="s">
        <v>16</v>
      </c>
      <c r="E1" s="43" t="s">
        <v>17</v>
      </c>
      <c r="F1" s="220"/>
      <c r="G1" s="220"/>
      <c r="H1" s="220"/>
      <c r="I1" s="221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</row>
    <row r="2" ht="15.75" customHeight="1">
      <c r="A2" s="220"/>
      <c r="B2" s="5"/>
      <c r="C2" s="6"/>
      <c r="D2" s="44" t="s">
        <v>9</v>
      </c>
      <c r="E2" s="45">
        <f>COUNTIF('Test Case (System)'!B:B,"Pass")</f>
        <v>0</v>
      </c>
      <c r="F2" s="220"/>
      <c r="G2" s="220"/>
      <c r="H2" s="220"/>
      <c r="I2" s="221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 ht="15.75" customHeight="1">
      <c r="A3" s="220"/>
      <c r="B3" s="5"/>
      <c r="C3" s="6"/>
      <c r="D3" s="46" t="s">
        <v>10</v>
      </c>
      <c r="E3" s="45">
        <f>COUNTIF('Test Case (System)'!B:B,"Fail")</f>
        <v>0</v>
      </c>
      <c r="F3" s="220"/>
      <c r="G3" s="220"/>
      <c r="H3" s="220"/>
      <c r="I3" s="221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</row>
    <row r="4" ht="15.75" customHeight="1">
      <c r="A4" s="220"/>
      <c r="B4" s="30"/>
      <c r="C4" s="31"/>
      <c r="D4" s="47" t="s">
        <v>1288</v>
      </c>
      <c r="E4" s="48"/>
      <c r="F4" s="220"/>
      <c r="G4" s="220"/>
      <c r="H4" s="220"/>
      <c r="I4" s="221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</row>
    <row r="5" ht="15.75" customHeight="1">
      <c r="A5" s="220"/>
      <c r="B5" s="220"/>
      <c r="C5" s="220"/>
      <c r="D5" s="220"/>
      <c r="E5" s="220"/>
      <c r="F5" s="220"/>
      <c r="G5" s="220"/>
      <c r="H5" s="220"/>
      <c r="I5" s="221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</row>
    <row r="6" ht="15.75" customHeight="1">
      <c r="A6" s="220"/>
      <c r="B6" s="220"/>
      <c r="C6" s="220"/>
      <c r="D6" s="220"/>
      <c r="E6" s="220"/>
      <c r="F6" s="220"/>
      <c r="G6" s="220"/>
      <c r="H6" s="220"/>
      <c r="I6" s="221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</row>
    <row r="7" ht="15.75" customHeight="1">
      <c r="A7" s="220"/>
      <c r="B7" s="220"/>
      <c r="C7" s="220"/>
      <c r="D7" s="220"/>
      <c r="E7" s="220"/>
      <c r="F7" s="220"/>
      <c r="G7" s="220"/>
      <c r="H7" s="220"/>
      <c r="I7" s="221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 ht="15.75" customHeight="1">
      <c r="A8" s="220"/>
      <c r="B8" s="220"/>
      <c r="C8" s="220"/>
      <c r="D8" s="220"/>
      <c r="E8" s="220"/>
      <c r="F8" s="220"/>
      <c r="G8" s="220"/>
      <c r="H8" s="220"/>
      <c r="I8" s="221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</row>
    <row r="9" ht="15.75" customHeight="1">
      <c r="A9" s="222"/>
      <c r="B9" s="222" t="s">
        <v>1289</v>
      </c>
      <c r="C9" s="108"/>
      <c r="D9" s="223"/>
      <c r="E9" s="223"/>
      <c r="F9" s="220"/>
      <c r="G9" s="223"/>
      <c r="H9" s="223"/>
      <c r="I9" s="221"/>
      <c r="J9" s="223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</row>
    <row r="10" ht="15.75" customHeight="1">
      <c r="A10" s="142" t="s">
        <v>16</v>
      </c>
      <c r="B10" s="142" t="s">
        <v>166</v>
      </c>
      <c r="C10" s="142" t="s">
        <v>28</v>
      </c>
      <c r="D10" s="142" t="s">
        <v>96</v>
      </c>
      <c r="E10" s="142" t="s">
        <v>1290</v>
      </c>
      <c r="F10" s="142" t="s">
        <v>1291</v>
      </c>
      <c r="G10" s="142" t="s">
        <v>169</v>
      </c>
      <c r="H10" s="142" t="s">
        <v>170</v>
      </c>
      <c r="I10" s="224" t="s">
        <v>171</v>
      </c>
      <c r="J10" s="142" t="s">
        <v>172</v>
      </c>
      <c r="K10" s="142" t="s">
        <v>173</v>
      </c>
      <c r="L10" s="142" t="s">
        <v>27</v>
      </c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</row>
    <row r="11" ht="15.75" customHeight="1">
      <c r="A11" s="45"/>
      <c r="B11" s="225" t="s">
        <v>1240</v>
      </c>
      <c r="C11" s="225" t="s">
        <v>126</v>
      </c>
      <c r="D11" s="225" t="s">
        <v>155</v>
      </c>
      <c r="E11" s="225" t="s">
        <v>1292</v>
      </c>
      <c r="F11" s="225" t="s">
        <v>1293</v>
      </c>
      <c r="G11" s="225" t="s">
        <v>180</v>
      </c>
      <c r="H11" s="45"/>
      <c r="I11" s="226" t="s">
        <v>1294</v>
      </c>
      <c r="J11" s="225" t="s">
        <v>1295</v>
      </c>
      <c r="K11" s="45"/>
      <c r="L11" s="45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</row>
    <row r="12" ht="15.75" customHeight="1">
      <c r="A12" s="45"/>
      <c r="B12" s="225" t="s">
        <v>1240</v>
      </c>
      <c r="C12" s="225" t="s">
        <v>127</v>
      </c>
      <c r="D12" s="225" t="s">
        <v>156</v>
      </c>
      <c r="E12" s="225" t="s">
        <v>1296</v>
      </c>
      <c r="F12" s="225" t="s">
        <v>1293</v>
      </c>
      <c r="G12" s="225" t="s">
        <v>180</v>
      </c>
      <c r="H12" s="45"/>
      <c r="I12" s="226" t="s">
        <v>1297</v>
      </c>
      <c r="J12" s="225"/>
      <c r="K12" s="45"/>
      <c r="L12" s="45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</row>
    <row r="13" ht="15.75" customHeight="1">
      <c r="A13" s="45"/>
      <c r="B13" s="225" t="s">
        <v>1240</v>
      </c>
      <c r="C13" s="225" t="s">
        <v>128</v>
      </c>
      <c r="D13" s="225" t="s">
        <v>156</v>
      </c>
      <c r="E13" s="225" t="s">
        <v>1298</v>
      </c>
      <c r="F13" s="225" t="s">
        <v>1293</v>
      </c>
      <c r="G13" s="225" t="s">
        <v>180</v>
      </c>
      <c r="H13" s="45"/>
      <c r="I13" s="226" t="s">
        <v>1299</v>
      </c>
      <c r="J13" s="225" t="s">
        <v>1300</v>
      </c>
      <c r="K13" s="45"/>
      <c r="L13" s="45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</row>
    <row r="14" ht="15.75" customHeight="1">
      <c r="A14" s="45"/>
      <c r="B14" s="225" t="s">
        <v>1240</v>
      </c>
      <c r="C14" s="225" t="s">
        <v>129</v>
      </c>
      <c r="D14" s="225" t="s">
        <v>157</v>
      </c>
      <c r="E14" s="225" t="s">
        <v>1301</v>
      </c>
      <c r="F14" s="225" t="s">
        <v>1302</v>
      </c>
      <c r="G14" s="225" t="s">
        <v>180</v>
      </c>
      <c r="H14" s="45"/>
      <c r="I14" s="226" t="s">
        <v>1303</v>
      </c>
      <c r="J14" s="225" t="s">
        <v>1304</v>
      </c>
      <c r="K14" s="45"/>
      <c r="L14" s="45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</row>
    <row r="15" ht="15.75" customHeight="1">
      <c r="A15" s="45"/>
      <c r="B15" s="225" t="s">
        <v>1240</v>
      </c>
      <c r="C15" s="225" t="s">
        <v>130</v>
      </c>
      <c r="D15" s="225" t="s">
        <v>158</v>
      </c>
      <c r="E15" s="225" t="s">
        <v>1305</v>
      </c>
      <c r="F15" s="225" t="s">
        <v>1302</v>
      </c>
      <c r="G15" s="225" t="s">
        <v>180</v>
      </c>
      <c r="H15" s="45"/>
      <c r="I15" s="226" t="s">
        <v>1306</v>
      </c>
      <c r="J15" s="225" t="s">
        <v>1307</v>
      </c>
      <c r="K15" s="45"/>
      <c r="L15" s="45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</row>
    <row r="16" ht="15.75" customHeight="1">
      <c r="A16" s="45"/>
      <c r="B16" s="225" t="s">
        <v>1240</v>
      </c>
      <c r="C16" s="225" t="s">
        <v>131</v>
      </c>
      <c r="D16" s="225" t="s">
        <v>101</v>
      </c>
      <c r="E16" s="225" t="s">
        <v>1308</v>
      </c>
      <c r="F16" s="225" t="s">
        <v>1309</v>
      </c>
      <c r="G16" s="225" t="s">
        <v>180</v>
      </c>
      <c r="H16" s="45"/>
      <c r="I16" s="226" t="s">
        <v>1310</v>
      </c>
      <c r="J16" s="225" t="s">
        <v>1311</v>
      </c>
      <c r="K16" s="45"/>
      <c r="L16" s="45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 ht="15.75" customHeight="1">
      <c r="A17" s="45"/>
      <c r="B17" s="225" t="s">
        <v>1240</v>
      </c>
      <c r="C17" s="225" t="s">
        <v>132</v>
      </c>
      <c r="D17" s="225" t="s">
        <v>101</v>
      </c>
      <c r="E17" s="225" t="s">
        <v>1312</v>
      </c>
      <c r="F17" s="225" t="s">
        <v>1313</v>
      </c>
      <c r="G17" s="225" t="s">
        <v>180</v>
      </c>
      <c r="H17" s="45"/>
      <c r="I17" s="226" t="s">
        <v>1310</v>
      </c>
      <c r="J17" s="225" t="s">
        <v>1311</v>
      </c>
      <c r="K17" s="45"/>
      <c r="L17" s="45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</row>
    <row r="18" ht="15.75" customHeight="1">
      <c r="A18" s="45"/>
      <c r="B18" s="225" t="s">
        <v>1240</v>
      </c>
      <c r="C18" s="225" t="s">
        <v>133</v>
      </c>
      <c r="D18" s="225" t="s">
        <v>101</v>
      </c>
      <c r="E18" s="225" t="s">
        <v>1314</v>
      </c>
      <c r="F18" s="225" t="s">
        <v>1315</v>
      </c>
      <c r="G18" s="225" t="s">
        <v>180</v>
      </c>
      <c r="H18" s="45"/>
      <c r="I18" s="226" t="s">
        <v>1310</v>
      </c>
      <c r="J18" s="225" t="s">
        <v>1311</v>
      </c>
      <c r="K18" s="45"/>
      <c r="L18" s="45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</row>
    <row r="19" ht="15.75" customHeight="1">
      <c r="A19" s="45"/>
      <c r="B19" s="225" t="s">
        <v>1240</v>
      </c>
      <c r="C19" s="225" t="s">
        <v>134</v>
      </c>
      <c r="D19" s="225" t="s">
        <v>101</v>
      </c>
      <c r="E19" s="225" t="s">
        <v>1316</v>
      </c>
      <c r="F19" s="225" t="s">
        <v>1317</v>
      </c>
      <c r="G19" s="225" t="s">
        <v>180</v>
      </c>
      <c r="H19" s="45"/>
      <c r="I19" s="226" t="s">
        <v>1310</v>
      </c>
      <c r="J19" s="225" t="s">
        <v>1311</v>
      </c>
      <c r="K19" s="45"/>
      <c r="L19" s="45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</row>
    <row r="20" ht="15.75" customHeight="1">
      <c r="A20" s="45"/>
      <c r="B20" s="225" t="s">
        <v>1318</v>
      </c>
      <c r="C20" s="225" t="s">
        <v>135</v>
      </c>
      <c r="D20" s="225" t="s">
        <v>102</v>
      </c>
      <c r="E20" s="225" t="s">
        <v>1319</v>
      </c>
      <c r="F20" s="225" t="s">
        <v>1320</v>
      </c>
      <c r="G20" s="225" t="s">
        <v>180</v>
      </c>
      <c r="H20" s="45"/>
      <c r="I20" s="226" t="s">
        <v>1321</v>
      </c>
      <c r="J20" s="225" t="s">
        <v>1322</v>
      </c>
      <c r="K20" s="45"/>
      <c r="L20" s="45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</row>
    <row r="21" ht="15.75" customHeight="1">
      <c r="A21" s="45"/>
      <c r="B21" s="225" t="s">
        <v>1240</v>
      </c>
      <c r="C21" s="225" t="s">
        <v>136</v>
      </c>
      <c r="D21" s="225" t="s">
        <v>159</v>
      </c>
      <c r="E21" s="225" t="s">
        <v>1323</v>
      </c>
      <c r="F21" s="225" t="s">
        <v>1324</v>
      </c>
      <c r="G21" s="225" t="s">
        <v>180</v>
      </c>
      <c r="H21" s="45"/>
      <c r="I21" s="226" t="s">
        <v>1325</v>
      </c>
      <c r="J21" s="225" t="s">
        <v>1326</v>
      </c>
      <c r="K21" s="45"/>
      <c r="L21" s="45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</row>
    <row r="22" ht="15.75" customHeight="1">
      <c r="A22" s="45"/>
      <c r="B22" s="225" t="s">
        <v>1240</v>
      </c>
      <c r="C22" s="225" t="s">
        <v>137</v>
      </c>
      <c r="D22" s="225" t="s">
        <v>159</v>
      </c>
      <c r="E22" s="225" t="s">
        <v>1327</v>
      </c>
      <c r="F22" s="225" t="s">
        <v>1324</v>
      </c>
      <c r="G22" s="225" t="s">
        <v>180</v>
      </c>
      <c r="H22" s="45"/>
      <c r="I22" s="226" t="s">
        <v>1328</v>
      </c>
      <c r="J22" s="225" t="s">
        <v>1326</v>
      </c>
      <c r="K22" s="45"/>
      <c r="L22" s="45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</row>
    <row r="23" ht="15.75" customHeight="1">
      <c r="A23" s="45"/>
      <c r="B23" s="225" t="s">
        <v>36</v>
      </c>
      <c r="C23" s="225" t="s">
        <v>138</v>
      </c>
      <c r="D23" s="225" t="s">
        <v>160</v>
      </c>
      <c r="E23" s="225" t="s">
        <v>1329</v>
      </c>
      <c r="F23" s="225" t="s">
        <v>1320</v>
      </c>
      <c r="G23" s="225" t="s">
        <v>180</v>
      </c>
      <c r="H23" s="45"/>
      <c r="I23" s="226" t="s">
        <v>1330</v>
      </c>
      <c r="J23" s="225" t="s">
        <v>1331</v>
      </c>
      <c r="K23" s="45"/>
      <c r="L23" s="45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</row>
    <row r="24" ht="15.75" customHeight="1">
      <c r="A24" s="45"/>
      <c r="B24" s="225" t="s">
        <v>36</v>
      </c>
      <c r="C24" s="225" t="s">
        <v>139</v>
      </c>
      <c r="D24" s="225" t="s">
        <v>160</v>
      </c>
      <c r="E24" s="225" t="s">
        <v>1332</v>
      </c>
      <c r="F24" s="225" t="s">
        <v>1320</v>
      </c>
      <c r="G24" s="225" t="s">
        <v>180</v>
      </c>
      <c r="H24" s="45"/>
      <c r="I24" s="226" t="s">
        <v>1333</v>
      </c>
      <c r="J24" s="225" t="s">
        <v>1334</v>
      </c>
      <c r="K24" s="45"/>
      <c r="L24" s="45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</row>
    <row r="25" ht="15.75" customHeight="1">
      <c r="A25" s="45"/>
      <c r="B25" s="225" t="s">
        <v>36</v>
      </c>
      <c r="C25" s="225" t="s">
        <v>140</v>
      </c>
      <c r="D25" s="225" t="s">
        <v>161</v>
      </c>
      <c r="E25" s="225" t="s">
        <v>1335</v>
      </c>
      <c r="F25" s="225" t="s">
        <v>1336</v>
      </c>
      <c r="G25" s="225" t="s">
        <v>180</v>
      </c>
      <c r="H25" s="45"/>
      <c r="I25" s="226" t="s">
        <v>1337</v>
      </c>
      <c r="J25" s="225" t="s">
        <v>1338</v>
      </c>
      <c r="K25" s="45"/>
      <c r="L25" s="45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</row>
    <row r="26" ht="15.75" customHeight="1">
      <c r="A26" s="45"/>
      <c r="B26" s="225" t="s">
        <v>36</v>
      </c>
      <c r="C26" s="225" t="s">
        <v>141</v>
      </c>
      <c r="D26" s="225" t="s">
        <v>161</v>
      </c>
      <c r="E26" s="225" t="s">
        <v>1339</v>
      </c>
      <c r="F26" s="225" t="s">
        <v>1340</v>
      </c>
      <c r="G26" s="225" t="s">
        <v>180</v>
      </c>
      <c r="H26" s="45"/>
      <c r="I26" s="226" t="s">
        <v>1341</v>
      </c>
      <c r="J26" s="225" t="s">
        <v>1338</v>
      </c>
      <c r="K26" s="45"/>
      <c r="L26" s="45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</row>
    <row r="27" ht="15.75" customHeight="1">
      <c r="A27" s="45"/>
      <c r="B27" s="225" t="s">
        <v>36</v>
      </c>
      <c r="C27" s="225" t="s">
        <v>142</v>
      </c>
      <c r="D27" s="225" t="s">
        <v>161</v>
      </c>
      <c r="E27" s="225" t="s">
        <v>1342</v>
      </c>
      <c r="F27" s="225" t="s">
        <v>1343</v>
      </c>
      <c r="G27" s="225" t="s">
        <v>180</v>
      </c>
      <c r="H27" s="45"/>
      <c r="I27" s="226" t="s">
        <v>1344</v>
      </c>
      <c r="J27" s="225" t="s">
        <v>1338</v>
      </c>
      <c r="K27" s="45"/>
      <c r="L27" s="45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</row>
    <row r="28" ht="15.75" customHeight="1">
      <c r="A28" s="45"/>
      <c r="B28" s="225" t="s">
        <v>1240</v>
      </c>
      <c r="C28" s="225" t="s">
        <v>143</v>
      </c>
      <c r="D28" s="225" t="s">
        <v>162</v>
      </c>
      <c r="E28" s="225" t="s">
        <v>1345</v>
      </c>
      <c r="F28" s="225" t="s">
        <v>1346</v>
      </c>
      <c r="G28" s="225" t="s">
        <v>180</v>
      </c>
      <c r="H28" s="45"/>
      <c r="I28" s="226" t="s">
        <v>1347</v>
      </c>
      <c r="J28" s="225" t="s">
        <v>1348</v>
      </c>
      <c r="K28" s="45"/>
      <c r="L28" s="45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</row>
    <row r="29" ht="15.75" customHeight="1">
      <c r="A29" s="45"/>
      <c r="B29" s="225" t="s">
        <v>1240</v>
      </c>
      <c r="C29" s="225" t="s">
        <v>144</v>
      </c>
      <c r="D29" s="225" t="s">
        <v>162</v>
      </c>
      <c r="E29" s="225" t="s">
        <v>1349</v>
      </c>
      <c r="F29" s="225" t="s">
        <v>1346</v>
      </c>
      <c r="G29" s="225" t="s">
        <v>180</v>
      </c>
      <c r="H29" s="45"/>
      <c r="I29" s="226" t="s">
        <v>1350</v>
      </c>
      <c r="J29" s="225" t="s">
        <v>1351</v>
      </c>
      <c r="K29" s="45"/>
      <c r="L29" s="45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</row>
    <row r="30" ht="15.75" customHeight="1">
      <c r="A30" s="45"/>
      <c r="B30" s="225" t="s">
        <v>1240</v>
      </c>
      <c r="C30" s="225" t="s">
        <v>145</v>
      </c>
      <c r="D30" s="225" t="s">
        <v>162</v>
      </c>
      <c r="E30" s="225" t="s">
        <v>1352</v>
      </c>
      <c r="F30" s="225" t="s">
        <v>1346</v>
      </c>
      <c r="G30" s="225" t="s">
        <v>180</v>
      </c>
      <c r="H30" s="45"/>
      <c r="I30" s="226" t="s">
        <v>1353</v>
      </c>
      <c r="J30" s="225" t="s">
        <v>1354</v>
      </c>
      <c r="K30" s="45"/>
      <c r="L30" s="45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</row>
    <row r="31" ht="15.75" customHeight="1">
      <c r="A31" s="45"/>
      <c r="B31" s="225" t="s">
        <v>1240</v>
      </c>
      <c r="C31" s="225" t="s">
        <v>146</v>
      </c>
      <c r="D31" s="225" t="s">
        <v>110</v>
      </c>
      <c r="E31" s="225" t="s">
        <v>1355</v>
      </c>
      <c r="F31" s="225" t="s">
        <v>1336</v>
      </c>
      <c r="G31" s="225" t="s">
        <v>180</v>
      </c>
      <c r="H31" s="45"/>
      <c r="I31" s="226" t="s">
        <v>1356</v>
      </c>
      <c r="J31" s="225" t="s">
        <v>1357</v>
      </c>
      <c r="K31" s="45"/>
      <c r="L31" s="45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</row>
    <row r="32" ht="15.75" customHeight="1">
      <c r="A32" s="45"/>
      <c r="B32" s="225" t="s">
        <v>1240</v>
      </c>
      <c r="C32" s="225" t="s">
        <v>147</v>
      </c>
      <c r="D32" s="225" t="s">
        <v>111</v>
      </c>
      <c r="E32" s="225" t="s">
        <v>1358</v>
      </c>
      <c r="F32" s="225" t="s">
        <v>1336</v>
      </c>
      <c r="G32" s="225" t="s">
        <v>180</v>
      </c>
      <c r="H32" s="45"/>
      <c r="I32" s="226" t="s">
        <v>1359</v>
      </c>
      <c r="J32" s="225" t="s">
        <v>1360</v>
      </c>
      <c r="K32" s="45"/>
      <c r="L32" s="45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</row>
    <row r="33" ht="15.75" customHeight="1">
      <c r="A33" s="45"/>
      <c r="B33" s="225" t="s">
        <v>1318</v>
      </c>
      <c r="C33" s="225" t="s">
        <v>148</v>
      </c>
      <c r="D33" s="225" t="s">
        <v>121</v>
      </c>
      <c r="E33" s="225" t="s">
        <v>1361</v>
      </c>
      <c r="F33" s="225" t="s">
        <v>1320</v>
      </c>
      <c r="G33" s="225" t="s">
        <v>180</v>
      </c>
      <c r="H33" s="45"/>
      <c r="I33" s="226" t="s">
        <v>1362</v>
      </c>
      <c r="J33" s="225" t="s">
        <v>1363</v>
      </c>
      <c r="K33" s="45"/>
      <c r="L33" s="45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ht="15.75" customHeight="1">
      <c r="A34" s="45"/>
      <c r="B34" s="225" t="s">
        <v>1318</v>
      </c>
      <c r="C34" s="225" t="s">
        <v>149</v>
      </c>
      <c r="D34" s="225" t="s">
        <v>122</v>
      </c>
      <c r="E34" s="225" t="s">
        <v>1364</v>
      </c>
      <c r="F34" s="225" t="s">
        <v>1336</v>
      </c>
      <c r="G34" s="225" t="s">
        <v>180</v>
      </c>
      <c r="H34" s="45"/>
      <c r="I34" s="226" t="s">
        <v>1365</v>
      </c>
      <c r="J34" s="225" t="s">
        <v>1366</v>
      </c>
      <c r="K34" s="45"/>
      <c r="L34" s="45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 ht="15.75" customHeight="1">
      <c r="A35" s="45"/>
      <c r="B35" s="225" t="s">
        <v>1318</v>
      </c>
      <c r="C35" s="225" t="s">
        <v>150</v>
      </c>
      <c r="D35" s="225" t="s">
        <v>163</v>
      </c>
      <c r="E35" s="225" t="s">
        <v>1367</v>
      </c>
      <c r="F35" s="225" t="s">
        <v>1336</v>
      </c>
      <c r="G35" s="225" t="s">
        <v>180</v>
      </c>
      <c r="H35" s="45"/>
      <c r="I35" s="226" t="s">
        <v>1368</v>
      </c>
      <c r="J35" s="225" t="s">
        <v>1369</v>
      </c>
      <c r="K35" s="45"/>
      <c r="L35" s="45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</row>
    <row r="36" ht="15.75" customHeight="1">
      <c r="A36" s="45"/>
      <c r="B36" s="225" t="s">
        <v>1318</v>
      </c>
      <c r="C36" s="225" t="s">
        <v>151</v>
      </c>
      <c r="D36" s="225" t="s">
        <v>163</v>
      </c>
      <c r="E36" s="225" t="s">
        <v>1370</v>
      </c>
      <c r="F36" s="225" t="s">
        <v>1340</v>
      </c>
      <c r="G36" s="225" t="s">
        <v>180</v>
      </c>
      <c r="H36" s="45"/>
      <c r="I36" s="226" t="s">
        <v>1371</v>
      </c>
      <c r="J36" s="225" t="s">
        <v>1369</v>
      </c>
      <c r="K36" s="45"/>
      <c r="L36" s="45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227"/>
      <c r="J37" s="45"/>
      <c r="K37" s="45"/>
      <c r="L37" s="45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227"/>
      <c r="J38" s="45"/>
      <c r="K38" s="45"/>
      <c r="L38" s="45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227"/>
      <c r="J39" s="45"/>
      <c r="K39" s="45"/>
      <c r="L39" s="45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 ht="15.75" customHeight="1">
      <c r="A40" s="220"/>
      <c r="B40" s="220"/>
      <c r="C40" s="220"/>
      <c r="D40" s="220"/>
      <c r="E40" s="220"/>
      <c r="F40" s="220"/>
      <c r="G40" s="220"/>
      <c r="H40" s="220"/>
      <c r="I40" s="221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</row>
    <row r="41" ht="15.75" customHeight="1">
      <c r="A41" s="220"/>
      <c r="B41" s="220"/>
      <c r="C41" s="220"/>
      <c r="D41" s="220"/>
      <c r="E41" s="220"/>
      <c r="F41" s="220"/>
      <c r="G41" s="220"/>
      <c r="H41" s="220"/>
      <c r="I41" s="221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</row>
    <row r="42" ht="15.75" customHeight="1">
      <c r="A42" s="220"/>
      <c r="B42" s="220"/>
      <c r="C42" s="220"/>
      <c r="D42" s="220"/>
      <c r="E42" s="220"/>
      <c r="F42" s="220"/>
      <c r="G42" s="220"/>
      <c r="H42" s="220"/>
      <c r="I42" s="221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</row>
    <row r="43" ht="15.75" customHeight="1">
      <c r="A43" s="220"/>
      <c r="B43" s="220"/>
      <c r="C43" s="220"/>
      <c r="D43" s="220"/>
      <c r="E43" s="220"/>
      <c r="F43" s="220"/>
      <c r="G43" s="220"/>
      <c r="H43" s="220"/>
      <c r="I43" s="221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</row>
    <row r="44" ht="15.75" customHeight="1">
      <c r="A44" s="220"/>
      <c r="B44" s="220"/>
      <c r="C44" s="220"/>
      <c r="D44" s="220"/>
      <c r="E44" s="220"/>
      <c r="F44" s="220"/>
      <c r="G44" s="220"/>
      <c r="H44" s="220"/>
      <c r="I44" s="221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</row>
    <row r="45" ht="15.75" customHeight="1">
      <c r="A45" s="220"/>
      <c r="B45" s="220"/>
      <c r="C45" s="220"/>
      <c r="D45" s="220"/>
      <c r="E45" s="220"/>
      <c r="F45" s="220"/>
      <c r="G45" s="220"/>
      <c r="H45" s="220"/>
      <c r="I45" s="221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</row>
    <row r="46" ht="15.75" customHeight="1">
      <c r="A46" s="220"/>
      <c r="B46" s="220"/>
      <c r="C46" s="220"/>
      <c r="D46" s="220"/>
      <c r="E46" s="220"/>
      <c r="F46" s="220"/>
      <c r="G46" s="220"/>
      <c r="H46" s="220"/>
      <c r="I46" s="221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</row>
    <row r="47" ht="15.75" customHeight="1">
      <c r="A47" s="220"/>
      <c r="B47" s="220"/>
      <c r="C47" s="220"/>
      <c r="D47" s="220"/>
      <c r="E47" s="220"/>
      <c r="F47" s="220"/>
      <c r="G47" s="220"/>
      <c r="H47" s="220"/>
      <c r="I47" s="221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</row>
    <row r="48" ht="15.75" customHeight="1">
      <c r="A48" s="220"/>
      <c r="B48" s="220"/>
      <c r="C48" s="220"/>
      <c r="D48" s="220"/>
      <c r="E48" s="220"/>
      <c r="F48" s="220"/>
      <c r="G48" s="220"/>
      <c r="H48" s="220"/>
      <c r="I48" s="221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</row>
    <row r="49" ht="15.75" customHeight="1">
      <c r="A49" s="220"/>
      <c r="B49" s="220"/>
      <c r="C49" s="220"/>
      <c r="D49" s="220"/>
      <c r="E49" s="220"/>
      <c r="F49" s="220"/>
      <c r="G49" s="220"/>
      <c r="H49" s="220"/>
      <c r="I49" s="221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</row>
    <row r="50" ht="15.75" customHeight="1">
      <c r="A50" s="220"/>
      <c r="B50" s="220"/>
      <c r="C50" s="220"/>
      <c r="D50" s="220"/>
      <c r="E50" s="220"/>
      <c r="F50" s="220"/>
      <c r="G50" s="220"/>
      <c r="H50" s="220"/>
      <c r="I50" s="221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</row>
    <row r="51" ht="15.75" customHeight="1">
      <c r="A51" s="220"/>
      <c r="B51" s="220"/>
      <c r="C51" s="220"/>
      <c r="D51" s="220"/>
      <c r="E51" s="220"/>
      <c r="F51" s="220"/>
      <c r="G51" s="220"/>
      <c r="H51" s="220"/>
      <c r="I51" s="221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</row>
    <row r="52" ht="15.75" customHeight="1">
      <c r="A52" s="220"/>
      <c r="B52" s="220"/>
      <c r="C52" s="220"/>
      <c r="D52" s="220"/>
      <c r="E52" s="220"/>
      <c r="F52" s="220"/>
      <c r="G52" s="220"/>
      <c r="H52" s="220"/>
      <c r="I52" s="221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</row>
    <row r="53" ht="15.75" customHeight="1">
      <c r="A53" s="220"/>
      <c r="B53" s="220"/>
      <c r="C53" s="220"/>
      <c r="D53" s="220"/>
      <c r="E53" s="220"/>
      <c r="F53" s="220"/>
      <c r="G53" s="220"/>
      <c r="H53" s="220"/>
      <c r="I53" s="221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</row>
    <row r="54" ht="15.75" customHeight="1">
      <c r="A54" s="220"/>
      <c r="B54" s="220"/>
      <c r="C54" s="220"/>
      <c r="D54" s="220"/>
      <c r="E54" s="220"/>
      <c r="F54" s="220"/>
      <c r="G54" s="220"/>
      <c r="H54" s="220"/>
      <c r="I54" s="221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</row>
    <row r="55" ht="15.75" customHeight="1">
      <c r="A55" s="220"/>
      <c r="B55" s="220"/>
      <c r="C55" s="220"/>
      <c r="D55" s="220"/>
      <c r="E55" s="220"/>
      <c r="F55" s="220"/>
      <c r="G55" s="220"/>
      <c r="H55" s="220"/>
      <c r="I55" s="221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</row>
    <row r="56" ht="15.75" customHeight="1">
      <c r="A56" s="220"/>
      <c r="B56" s="220"/>
      <c r="C56" s="220"/>
      <c r="D56" s="220"/>
      <c r="E56" s="220"/>
      <c r="F56" s="220"/>
      <c r="G56" s="220"/>
      <c r="H56" s="220"/>
      <c r="I56" s="221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</row>
    <row r="57" ht="15.75" customHeight="1">
      <c r="A57" s="220"/>
      <c r="B57" s="220"/>
      <c r="C57" s="220"/>
      <c r="D57" s="220"/>
      <c r="E57" s="220"/>
      <c r="F57" s="220"/>
      <c r="G57" s="220"/>
      <c r="H57" s="220"/>
      <c r="I57" s="221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</row>
    <row r="58" ht="15.75" customHeight="1">
      <c r="A58" s="220"/>
      <c r="B58" s="220"/>
      <c r="C58" s="220"/>
      <c r="D58" s="220"/>
      <c r="E58" s="220"/>
      <c r="F58" s="220"/>
      <c r="G58" s="220"/>
      <c r="H58" s="220"/>
      <c r="I58" s="221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</row>
    <row r="59" ht="15.75" customHeight="1">
      <c r="A59" s="220"/>
      <c r="B59" s="220"/>
      <c r="C59" s="220"/>
      <c r="D59" s="220"/>
      <c r="E59" s="220"/>
      <c r="F59" s="220"/>
      <c r="G59" s="220"/>
      <c r="H59" s="220"/>
      <c r="I59" s="221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</row>
    <row r="60" ht="15.75" customHeight="1">
      <c r="A60" s="220"/>
      <c r="B60" s="220"/>
      <c r="C60" s="220"/>
      <c r="D60" s="220"/>
      <c r="E60" s="220"/>
      <c r="F60" s="220"/>
      <c r="G60" s="220"/>
      <c r="H60" s="220"/>
      <c r="I60" s="221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</row>
    <row r="61" ht="15.75" customHeight="1">
      <c r="A61" s="220"/>
      <c r="B61" s="220"/>
      <c r="C61" s="220"/>
      <c r="D61" s="220"/>
      <c r="E61" s="220"/>
      <c r="F61" s="220"/>
      <c r="G61" s="220"/>
      <c r="H61" s="220"/>
      <c r="I61" s="221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</row>
    <row r="62" ht="15.75" customHeight="1">
      <c r="A62" s="220"/>
      <c r="B62" s="220"/>
      <c r="C62" s="220"/>
      <c r="D62" s="220"/>
      <c r="E62" s="220"/>
      <c r="F62" s="220"/>
      <c r="G62" s="220"/>
      <c r="H62" s="220"/>
      <c r="I62" s="221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</row>
    <row r="63" ht="15.75" customHeight="1">
      <c r="A63" s="220"/>
      <c r="B63" s="220"/>
      <c r="C63" s="220"/>
      <c r="D63" s="220"/>
      <c r="E63" s="220"/>
      <c r="F63" s="220"/>
      <c r="G63" s="220"/>
      <c r="H63" s="220"/>
      <c r="I63" s="221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</row>
    <row r="64" ht="15.75" customHeight="1">
      <c r="A64" s="220"/>
      <c r="B64" s="220"/>
      <c r="C64" s="220"/>
      <c r="D64" s="220"/>
      <c r="E64" s="220"/>
      <c r="F64" s="220"/>
      <c r="G64" s="220"/>
      <c r="H64" s="220"/>
      <c r="I64" s="221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</row>
    <row r="65" ht="15.75" customHeight="1">
      <c r="A65" s="220"/>
      <c r="B65" s="220"/>
      <c r="C65" s="220"/>
      <c r="D65" s="220"/>
      <c r="E65" s="220"/>
      <c r="F65" s="220"/>
      <c r="G65" s="220"/>
      <c r="H65" s="220"/>
      <c r="I65" s="221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</row>
    <row r="66" ht="15.75" customHeight="1">
      <c r="A66" s="220"/>
      <c r="B66" s="220"/>
      <c r="C66" s="220"/>
      <c r="D66" s="220"/>
      <c r="E66" s="220"/>
      <c r="F66" s="220"/>
      <c r="G66" s="220"/>
      <c r="H66" s="220"/>
      <c r="I66" s="221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</row>
    <row r="67" ht="15.75" customHeight="1">
      <c r="A67" s="220"/>
      <c r="B67" s="220"/>
      <c r="C67" s="220"/>
      <c r="D67" s="220"/>
      <c r="E67" s="220"/>
      <c r="F67" s="220"/>
      <c r="G67" s="220"/>
      <c r="H67" s="220"/>
      <c r="I67" s="221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</row>
    <row r="68" ht="15.75" customHeight="1">
      <c r="A68" s="220"/>
      <c r="B68" s="220"/>
      <c r="C68" s="220"/>
      <c r="D68" s="220"/>
      <c r="E68" s="220"/>
      <c r="F68" s="220"/>
      <c r="G68" s="220"/>
      <c r="H68" s="220"/>
      <c r="I68" s="221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</row>
    <row r="69" ht="15.75" customHeight="1">
      <c r="A69" s="220"/>
      <c r="B69" s="220"/>
      <c r="C69" s="220"/>
      <c r="D69" s="220"/>
      <c r="E69" s="220"/>
      <c r="F69" s="220"/>
      <c r="G69" s="220"/>
      <c r="H69" s="220"/>
      <c r="I69" s="221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</row>
    <row r="70" ht="15.75" customHeight="1">
      <c r="A70" s="220"/>
      <c r="B70" s="220"/>
      <c r="C70" s="220"/>
      <c r="D70" s="220"/>
      <c r="E70" s="220"/>
      <c r="F70" s="220"/>
      <c r="G70" s="220"/>
      <c r="H70" s="220"/>
      <c r="I70" s="221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</row>
    <row r="71" ht="15.75" customHeight="1">
      <c r="A71" s="220"/>
      <c r="B71" s="220"/>
      <c r="C71" s="220"/>
      <c r="D71" s="220"/>
      <c r="E71" s="220"/>
      <c r="F71" s="220"/>
      <c r="G71" s="220"/>
      <c r="H71" s="220"/>
      <c r="I71" s="221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</row>
    <row r="72" ht="15.75" customHeight="1">
      <c r="A72" s="220"/>
      <c r="B72" s="220"/>
      <c r="C72" s="220"/>
      <c r="D72" s="220"/>
      <c r="E72" s="220"/>
      <c r="F72" s="220"/>
      <c r="G72" s="220"/>
      <c r="H72" s="220"/>
      <c r="I72" s="221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</row>
    <row r="73" ht="15.75" customHeight="1">
      <c r="A73" s="220"/>
      <c r="B73" s="220"/>
      <c r="C73" s="220"/>
      <c r="D73" s="220"/>
      <c r="E73" s="220"/>
      <c r="F73" s="220"/>
      <c r="G73" s="220"/>
      <c r="H73" s="220"/>
      <c r="I73" s="221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</row>
    <row r="74" ht="15.75" customHeight="1">
      <c r="A74" s="220"/>
      <c r="B74" s="220"/>
      <c r="C74" s="220"/>
      <c r="D74" s="220"/>
      <c r="E74" s="220"/>
      <c r="F74" s="220"/>
      <c r="G74" s="220"/>
      <c r="H74" s="220"/>
      <c r="I74" s="221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</row>
    <row r="75" ht="15.75" customHeight="1">
      <c r="A75" s="220"/>
      <c r="B75" s="220"/>
      <c r="C75" s="220"/>
      <c r="D75" s="220"/>
      <c r="E75" s="220"/>
      <c r="F75" s="220"/>
      <c r="G75" s="220"/>
      <c r="H75" s="220"/>
      <c r="I75" s="221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</row>
    <row r="76" ht="15.75" customHeight="1">
      <c r="A76" s="220"/>
      <c r="B76" s="220"/>
      <c r="C76" s="220"/>
      <c r="D76" s="220"/>
      <c r="E76" s="220"/>
      <c r="F76" s="220"/>
      <c r="G76" s="220"/>
      <c r="H76" s="220"/>
      <c r="I76" s="221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</row>
    <row r="77" ht="15.75" customHeight="1">
      <c r="A77" s="220"/>
      <c r="B77" s="220"/>
      <c r="C77" s="220"/>
      <c r="D77" s="220"/>
      <c r="E77" s="220"/>
      <c r="F77" s="220"/>
      <c r="G77" s="220"/>
      <c r="H77" s="220"/>
      <c r="I77" s="221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</row>
    <row r="78" ht="15.75" customHeight="1">
      <c r="A78" s="220"/>
      <c r="B78" s="220"/>
      <c r="C78" s="220"/>
      <c r="D78" s="220"/>
      <c r="E78" s="220"/>
      <c r="F78" s="220"/>
      <c r="G78" s="220"/>
      <c r="H78" s="220"/>
      <c r="I78" s="221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</row>
    <row r="79" ht="15.75" customHeight="1">
      <c r="A79" s="220"/>
      <c r="B79" s="220"/>
      <c r="C79" s="220"/>
      <c r="D79" s="220"/>
      <c r="E79" s="220"/>
      <c r="F79" s="220"/>
      <c r="G79" s="220"/>
      <c r="H79" s="220"/>
      <c r="I79" s="221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</row>
    <row r="80" ht="15.75" customHeight="1">
      <c r="A80" s="220"/>
      <c r="B80" s="220"/>
      <c r="C80" s="220"/>
      <c r="D80" s="220"/>
      <c r="E80" s="220"/>
      <c r="F80" s="220"/>
      <c r="G80" s="220"/>
      <c r="H80" s="220"/>
      <c r="I80" s="221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</row>
    <row r="81" ht="15.75" customHeight="1">
      <c r="A81" s="220"/>
      <c r="B81" s="220"/>
      <c r="C81" s="220"/>
      <c r="D81" s="220"/>
      <c r="E81" s="220"/>
      <c r="F81" s="220"/>
      <c r="G81" s="220"/>
      <c r="H81" s="220"/>
      <c r="I81" s="221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</row>
    <row r="82" ht="15.75" customHeight="1">
      <c r="A82" s="220"/>
      <c r="B82" s="220"/>
      <c r="C82" s="220"/>
      <c r="D82" s="220"/>
      <c r="E82" s="220"/>
      <c r="F82" s="220"/>
      <c r="G82" s="220"/>
      <c r="H82" s="220"/>
      <c r="I82" s="221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</row>
    <row r="83" ht="15.75" customHeight="1">
      <c r="A83" s="220"/>
      <c r="B83" s="220"/>
      <c r="C83" s="220"/>
      <c r="D83" s="220"/>
      <c r="E83" s="220"/>
      <c r="F83" s="220"/>
      <c r="G83" s="220"/>
      <c r="H83" s="220"/>
      <c r="I83" s="221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</row>
    <row r="84" ht="15.75" customHeight="1">
      <c r="A84" s="220"/>
      <c r="B84" s="220"/>
      <c r="C84" s="220"/>
      <c r="D84" s="220"/>
      <c r="E84" s="220"/>
      <c r="F84" s="220"/>
      <c r="G84" s="220"/>
      <c r="H84" s="220"/>
      <c r="I84" s="221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</row>
    <row r="85" ht="15.75" customHeight="1">
      <c r="A85" s="220"/>
      <c r="B85" s="220"/>
      <c r="C85" s="220"/>
      <c r="D85" s="220"/>
      <c r="E85" s="220"/>
      <c r="F85" s="220"/>
      <c r="G85" s="220"/>
      <c r="H85" s="220"/>
      <c r="I85" s="221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</row>
    <row r="86" ht="15.75" customHeight="1">
      <c r="A86" s="220"/>
      <c r="B86" s="220"/>
      <c r="C86" s="220"/>
      <c r="D86" s="220"/>
      <c r="E86" s="220"/>
      <c r="F86" s="220"/>
      <c r="G86" s="220"/>
      <c r="H86" s="220"/>
      <c r="I86" s="221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</row>
    <row r="87" ht="15.75" customHeight="1">
      <c r="A87" s="220"/>
      <c r="B87" s="220"/>
      <c r="C87" s="220"/>
      <c r="D87" s="220"/>
      <c r="E87" s="220"/>
      <c r="F87" s="220"/>
      <c r="G87" s="220"/>
      <c r="H87" s="220"/>
      <c r="I87" s="221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</row>
    <row r="88" ht="15.75" customHeight="1">
      <c r="A88" s="220"/>
      <c r="B88" s="220"/>
      <c r="C88" s="220"/>
      <c r="D88" s="220"/>
      <c r="E88" s="220"/>
      <c r="F88" s="220"/>
      <c r="G88" s="220"/>
      <c r="H88" s="220"/>
      <c r="I88" s="221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</row>
    <row r="89" ht="15.75" customHeight="1">
      <c r="A89" s="220"/>
      <c r="B89" s="220"/>
      <c r="C89" s="220"/>
      <c r="D89" s="220"/>
      <c r="E89" s="220"/>
      <c r="F89" s="220"/>
      <c r="G89" s="220"/>
      <c r="H89" s="220"/>
      <c r="I89" s="221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</row>
    <row r="90" ht="15.75" customHeight="1">
      <c r="A90" s="220"/>
      <c r="B90" s="220"/>
      <c r="C90" s="220"/>
      <c r="D90" s="220"/>
      <c r="E90" s="220"/>
      <c r="F90" s="220"/>
      <c r="G90" s="220"/>
      <c r="H90" s="220"/>
      <c r="I90" s="221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</row>
    <row r="91" ht="15.75" customHeight="1">
      <c r="A91" s="220"/>
      <c r="B91" s="220"/>
      <c r="C91" s="220"/>
      <c r="D91" s="220"/>
      <c r="E91" s="220"/>
      <c r="F91" s="220"/>
      <c r="G91" s="220"/>
      <c r="H91" s="220"/>
      <c r="I91" s="221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</row>
    <row r="92" ht="15.75" customHeight="1">
      <c r="A92" s="220"/>
      <c r="B92" s="220"/>
      <c r="C92" s="220"/>
      <c r="D92" s="220"/>
      <c r="E92" s="220"/>
      <c r="F92" s="220"/>
      <c r="G92" s="220"/>
      <c r="H92" s="220"/>
      <c r="I92" s="221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</row>
    <row r="93" ht="15.75" customHeight="1">
      <c r="A93" s="220"/>
      <c r="B93" s="220"/>
      <c r="C93" s="220"/>
      <c r="D93" s="220"/>
      <c r="E93" s="220"/>
      <c r="F93" s="220"/>
      <c r="G93" s="220"/>
      <c r="H93" s="220"/>
      <c r="I93" s="221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</row>
    <row r="94" ht="15.75" customHeight="1">
      <c r="A94" s="220"/>
      <c r="B94" s="220"/>
      <c r="C94" s="220"/>
      <c r="D94" s="220"/>
      <c r="E94" s="220"/>
      <c r="F94" s="220"/>
      <c r="G94" s="220"/>
      <c r="H94" s="220"/>
      <c r="I94" s="221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</row>
    <row r="95" ht="15.75" customHeight="1">
      <c r="A95" s="220"/>
      <c r="B95" s="220"/>
      <c r="C95" s="220"/>
      <c r="D95" s="220"/>
      <c r="E95" s="220"/>
      <c r="F95" s="220"/>
      <c r="G95" s="220"/>
      <c r="H95" s="220"/>
      <c r="I95" s="221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</row>
    <row r="96" ht="15.75" customHeight="1">
      <c r="A96" s="220"/>
      <c r="B96" s="220"/>
      <c r="C96" s="220"/>
      <c r="D96" s="220"/>
      <c r="E96" s="220"/>
      <c r="F96" s="220"/>
      <c r="G96" s="220"/>
      <c r="H96" s="220"/>
      <c r="I96" s="221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</row>
    <row r="97" ht="15.75" customHeight="1">
      <c r="A97" s="220"/>
      <c r="B97" s="220"/>
      <c r="C97" s="220"/>
      <c r="D97" s="220"/>
      <c r="E97" s="220"/>
      <c r="F97" s="220"/>
      <c r="G97" s="220"/>
      <c r="H97" s="220"/>
      <c r="I97" s="221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</row>
    <row r="98" ht="15.75" customHeight="1">
      <c r="A98" s="220"/>
      <c r="B98" s="220"/>
      <c r="C98" s="220"/>
      <c r="D98" s="220"/>
      <c r="E98" s="220"/>
      <c r="F98" s="220"/>
      <c r="G98" s="220"/>
      <c r="H98" s="220"/>
      <c r="I98" s="221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</row>
    <row r="99" ht="15.75" customHeight="1">
      <c r="A99" s="220"/>
      <c r="B99" s="220"/>
      <c r="C99" s="220"/>
      <c r="D99" s="220"/>
      <c r="E99" s="220"/>
      <c r="F99" s="220"/>
      <c r="G99" s="220"/>
      <c r="H99" s="220"/>
      <c r="I99" s="221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</row>
    <row r="100" ht="15.75" customHeight="1">
      <c r="A100" s="220"/>
      <c r="B100" s="220"/>
      <c r="C100" s="220"/>
      <c r="D100" s="220"/>
      <c r="E100" s="220"/>
      <c r="F100" s="220"/>
      <c r="G100" s="220"/>
      <c r="H100" s="220"/>
      <c r="I100" s="221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</row>
    <row r="101" ht="15.75" customHeight="1">
      <c r="A101" s="220"/>
      <c r="B101" s="220"/>
      <c r="C101" s="220"/>
      <c r="D101" s="220"/>
      <c r="E101" s="220"/>
      <c r="F101" s="220"/>
      <c r="G101" s="220"/>
      <c r="H101" s="220"/>
      <c r="I101" s="221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</row>
    <row r="102" ht="15.75" customHeight="1">
      <c r="A102" s="220"/>
      <c r="B102" s="220"/>
      <c r="C102" s="220"/>
      <c r="D102" s="220"/>
      <c r="E102" s="220"/>
      <c r="F102" s="220"/>
      <c r="G102" s="220"/>
      <c r="H102" s="220"/>
      <c r="I102" s="221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</row>
    <row r="103" ht="15.75" customHeight="1">
      <c r="A103" s="220"/>
      <c r="B103" s="220"/>
      <c r="C103" s="220"/>
      <c r="D103" s="220"/>
      <c r="E103" s="220"/>
      <c r="F103" s="220"/>
      <c r="G103" s="220"/>
      <c r="H103" s="220"/>
      <c r="I103" s="221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</row>
    <row r="104" ht="15.75" customHeight="1">
      <c r="A104" s="220"/>
      <c r="B104" s="220"/>
      <c r="C104" s="220"/>
      <c r="D104" s="220"/>
      <c r="E104" s="220"/>
      <c r="F104" s="220"/>
      <c r="G104" s="220"/>
      <c r="H104" s="220"/>
      <c r="I104" s="221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</row>
    <row r="105" ht="15.75" customHeight="1">
      <c r="A105" s="220"/>
      <c r="B105" s="220"/>
      <c r="C105" s="220"/>
      <c r="D105" s="220"/>
      <c r="E105" s="220"/>
      <c r="F105" s="220"/>
      <c r="G105" s="220"/>
      <c r="H105" s="220"/>
      <c r="I105" s="221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</row>
    <row r="106" ht="15.75" customHeight="1">
      <c r="A106" s="220"/>
      <c r="B106" s="220"/>
      <c r="C106" s="220"/>
      <c r="D106" s="220"/>
      <c r="E106" s="220"/>
      <c r="F106" s="220"/>
      <c r="G106" s="220"/>
      <c r="H106" s="220"/>
      <c r="I106" s="221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</row>
    <row r="107" ht="15.75" customHeight="1">
      <c r="A107" s="220"/>
      <c r="B107" s="220"/>
      <c r="C107" s="220"/>
      <c r="D107" s="220"/>
      <c r="E107" s="220"/>
      <c r="F107" s="220"/>
      <c r="G107" s="220"/>
      <c r="H107" s="220"/>
      <c r="I107" s="221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</row>
    <row r="108" ht="15.75" customHeight="1">
      <c r="A108" s="220"/>
      <c r="B108" s="220"/>
      <c r="C108" s="220"/>
      <c r="D108" s="220"/>
      <c r="E108" s="220"/>
      <c r="F108" s="220"/>
      <c r="G108" s="220"/>
      <c r="H108" s="220"/>
      <c r="I108" s="221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</row>
    <row r="109" ht="15.75" customHeight="1">
      <c r="A109" s="220"/>
      <c r="B109" s="220"/>
      <c r="C109" s="220"/>
      <c r="D109" s="220"/>
      <c r="E109" s="220"/>
      <c r="F109" s="220"/>
      <c r="G109" s="220"/>
      <c r="H109" s="220"/>
      <c r="I109" s="221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</row>
    <row r="110" ht="15.75" customHeight="1">
      <c r="A110" s="220"/>
      <c r="B110" s="220"/>
      <c r="C110" s="220"/>
      <c r="D110" s="220"/>
      <c r="E110" s="220"/>
      <c r="F110" s="220"/>
      <c r="G110" s="220"/>
      <c r="H110" s="220"/>
      <c r="I110" s="221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</row>
    <row r="111" ht="15.75" customHeight="1">
      <c r="A111" s="220"/>
      <c r="B111" s="220"/>
      <c r="C111" s="220"/>
      <c r="D111" s="220"/>
      <c r="E111" s="220"/>
      <c r="F111" s="220"/>
      <c r="G111" s="220"/>
      <c r="H111" s="220"/>
      <c r="I111" s="221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</row>
    <row r="112" ht="15.75" customHeight="1">
      <c r="A112" s="220"/>
      <c r="B112" s="220"/>
      <c r="C112" s="220"/>
      <c r="D112" s="220"/>
      <c r="E112" s="220"/>
      <c r="F112" s="220"/>
      <c r="G112" s="220"/>
      <c r="H112" s="220"/>
      <c r="I112" s="221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</row>
    <row r="113" ht="15.75" customHeight="1">
      <c r="A113" s="220"/>
      <c r="B113" s="220"/>
      <c r="C113" s="220"/>
      <c r="D113" s="220"/>
      <c r="E113" s="220"/>
      <c r="F113" s="220"/>
      <c r="G113" s="220"/>
      <c r="H113" s="220"/>
      <c r="I113" s="221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</row>
    <row r="114" ht="15.75" customHeight="1">
      <c r="A114" s="220"/>
      <c r="B114" s="220"/>
      <c r="C114" s="220"/>
      <c r="D114" s="220"/>
      <c r="E114" s="220"/>
      <c r="F114" s="220"/>
      <c r="G114" s="220"/>
      <c r="H114" s="220"/>
      <c r="I114" s="221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</row>
    <row r="115" ht="15.75" customHeight="1">
      <c r="A115" s="220"/>
      <c r="B115" s="220"/>
      <c r="C115" s="220"/>
      <c r="D115" s="220"/>
      <c r="E115" s="220"/>
      <c r="F115" s="220"/>
      <c r="G115" s="220"/>
      <c r="H115" s="220"/>
      <c r="I115" s="221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</row>
    <row r="116" ht="15.75" customHeight="1">
      <c r="A116" s="220"/>
      <c r="B116" s="220"/>
      <c r="C116" s="220"/>
      <c r="D116" s="220"/>
      <c r="E116" s="220"/>
      <c r="F116" s="220"/>
      <c r="G116" s="220"/>
      <c r="H116" s="220"/>
      <c r="I116" s="221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</row>
    <row r="117" ht="15.75" customHeight="1">
      <c r="A117" s="220"/>
      <c r="B117" s="220"/>
      <c r="C117" s="220"/>
      <c r="D117" s="220"/>
      <c r="E117" s="220"/>
      <c r="F117" s="220"/>
      <c r="G117" s="220"/>
      <c r="H117" s="220"/>
      <c r="I117" s="221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</row>
    <row r="118" ht="15.75" customHeight="1">
      <c r="A118" s="220"/>
      <c r="B118" s="220"/>
      <c r="C118" s="220"/>
      <c r="D118" s="220"/>
      <c r="E118" s="220"/>
      <c r="F118" s="220"/>
      <c r="G118" s="220"/>
      <c r="H118" s="220"/>
      <c r="I118" s="221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</row>
    <row r="119" ht="15.75" customHeight="1">
      <c r="A119" s="220"/>
      <c r="B119" s="220"/>
      <c r="C119" s="220"/>
      <c r="D119" s="220"/>
      <c r="E119" s="220"/>
      <c r="F119" s="220"/>
      <c r="G119" s="220"/>
      <c r="H119" s="220"/>
      <c r="I119" s="221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</row>
    <row r="120" ht="15.75" customHeight="1">
      <c r="A120" s="220"/>
      <c r="B120" s="220"/>
      <c r="C120" s="220"/>
      <c r="D120" s="220"/>
      <c r="E120" s="220"/>
      <c r="F120" s="220"/>
      <c r="G120" s="220"/>
      <c r="H120" s="220"/>
      <c r="I120" s="221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</row>
    <row r="121" ht="15.75" customHeight="1">
      <c r="A121" s="220"/>
      <c r="B121" s="220"/>
      <c r="C121" s="220"/>
      <c r="D121" s="220"/>
      <c r="E121" s="220"/>
      <c r="F121" s="220"/>
      <c r="G121" s="220"/>
      <c r="H121" s="220"/>
      <c r="I121" s="221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</row>
    <row r="122" ht="15.75" customHeight="1">
      <c r="A122" s="220"/>
      <c r="B122" s="220"/>
      <c r="C122" s="220"/>
      <c r="D122" s="220"/>
      <c r="E122" s="220"/>
      <c r="F122" s="220"/>
      <c r="G122" s="220"/>
      <c r="H122" s="220"/>
      <c r="I122" s="221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</row>
    <row r="123" ht="15.75" customHeight="1">
      <c r="A123" s="220"/>
      <c r="B123" s="220"/>
      <c r="C123" s="220"/>
      <c r="D123" s="220"/>
      <c r="E123" s="220"/>
      <c r="F123" s="220"/>
      <c r="G123" s="220"/>
      <c r="H123" s="220"/>
      <c r="I123" s="221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</row>
    <row r="124" ht="15.75" customHeight="1">
      <c r="A124" s="220"/>
      <c r="B124" s="220"/>
      <c r="C124" s="220"/>
      <c r="D124" s="220"/>
      <c r="E124" s="220"/>
      <c r="F124" s="220"/>
      <c r="G124" s="220"/>
      <c r="H124" s="220"/>
      <c r="I124" s="221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</row>
    <row r="125" ht="15.75" customHeight="1">
      <c r="A125" s="220"/>
      <c r="B125" s="220"/>
      <c r="C125" s="220"/>
      <c r="D125" s="220"/>
      <c r="E125" s="220"/>
      <c r="F125" s="220"/>
      <c r="G125" s="220"/>
      <c r="H125" s="220"/>
      <c r="I125" s="221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</row>
    <row r="126" ht="15.75" customHeight="1">
      <c r="A126" s="220"/>
      <c r="B126" s="220"/>
      <c r="C126" s="220"/>
      <c r="D126" s="220"/>
      <c r="E126" s="220"/>
      <c r="F126" s="220"/>
      <c r="G126" s="220"/>
      <c r="H126" s="220"/>
      <c r="I126" s="221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</row>
    <row r="127" ht="15.75" customHeight="1">
      <c r="A127" s="220"/>
      <c r="B127" s="220"/>
      <c r="C127" s="220"/>
      <c r="D127" s="220"/>
      <c r="E127" s="220"/>
      <c r="F127" s="220"/>
      <c r="G127" s="220"/>
      <c r="H127" s="220"/>
      <c r="I127" s="221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</row>
    <row r="128" ht="15.75" customHeight="1">
      <c r="A128" s="220"/>
      <c r="B128" s="220"/>
      <c r="C128" s="220"/>
      <c r="D128" s="220"/>
      <c r="E128" s="220"/>
      <c r="F128" s="220"/>
      <c r="G128" s="220"/>
      <c r="H128" s="220"/>
      <c r="I128" s="221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</row>
    <row r="129" ht="15.75" customHeight="1">
      <c r="A129" s="220"/>
      <c r="B129" s="220"/>
      <c r="C129" s="220"/>
      <c r="D129" s="220"/>
      <c r="E129" s="220"/>
      <c r="F129" s="220"/>
      <c r="G129" s="220"/>
      <c r="H129" s="220"/>
      <c r="I129" s="221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</row>
    <row r="130" ht="15.75" customHeight="1">
      <c r="A130" s="220"/>
      <c r="B130" s="220"/>
      <c r="C130" s="220"/>
      <c r="D130" s="220"/>
      <c r="E130" s="220"/>
      <c r="F130" s="220"/>
      <c r="G130" s="220"/>
      <c r="H130" s="220"/>
      <c r="I130" s="221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</row>
    <row r="131" ht="15.75" customHeight="1">
      <c r="A131" s="220"/>
      <c r="B131" s="220"/>
      <c r="C131" s="220"/>
      <c r="D131" s="220"/>
      <c r="E131" s="220"/>
      <c r="F131" s="220"/>
      <c r="G131" s="220"/>
      <c r="H131" s="220"/>
      <c r="I131" s="221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</row>
    <row r="132" ht="15.75" customHeight="1">
      <c r="A132" s="220"/>
      <c r="B132" s="220"/>
      <c r="C132" s="220"/>
      <c r="D132" s="220"/>
      <c r="E132" s="220"/>
      <c r="F132" s="220"/>
      <c r="G132" s="220"/>
      <c r="H132" s="220"/>
      <c r="I132" s="221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</row>
    <row r="133" ht="15.75" customHeight="1">
      <c r="A133" s="220"/>
      <c r="B133" s="220"/>
      <c r="C133" s="220"/>
      <c r="D133" s="220"/>
      <c r="E133" s="220"/>
      <c r="F133" s="220"/>
      <c r="G133" s="220"/>
      <c r="H133" s="220"/>
      <c r="I133" s="221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</row>
    <row r="134" ht="15.75" customHeight="1">
      <c r="A134" s="220"/>
      <c r="B134" s="220"/>
      <c r="C134" s="220"/>
      <c r="D134" s="220"/>
      <c r="E134" s="220"/>
      <c r="F134" s="220"/>
      <c r="G134" s="220"/>
      <c r="H134" s="220"/>
      <c r="I134" s="221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</row>
    <row r="135" ht="15.75" customHeight="1">
      <c r="A135" s="220"/>
      <c r="B135" s="220"/>
      <c r="C135" s="220"/>
      <c r="D135" s="220"/>
      <c r="E135" s="220"/>
      <c r="F135" s="220"/>
      <c r="G135" s="220"/>
      <c r="H135" s="220"/>
      <c r="I135" s="221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</row>
    <row r="136" ht="15.75" customHeight="1">
      <c r="A136" s="220"/>
      <c r="B136" s="220"/>
      <c r="C136" s="220"/>
      <c r="D136" s="220"/>
      <c r="E136" s="220"/>
      <c r="F136" s="220"/>
      <c r="G136" s="220"/>
      <c r="H136" s="220"/>
      <c r="I136" s="221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</row>
    <row r="137" ht="15.75" customHeight="1">
      <c r="A137" s="220"/>
      <c r="B137" s="220"/>
      <c r="C137" s="220"/>
      <c r="D137" s="220"/>
      <c r="E137" s="220"/>
      <c r="F137" s="220"/>
      <c r="G137" s="220"/>
      <c r="H137" s="220"/>
      <c r="I137" s="221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</row>
    <row r="138" ht="15.75" customHeight="1">
      <c r="A138" s="220"/>
      <c r="B138" s="220"/>
      <c r="C138" s="220"/>
      <c r="D138" s="220"/>
      <c r="E138" s="220"/>
      <c r="F138" s="220"/>
      <c r="G138" s="220"/>
      <c r="H138" s="220"/>
      <c r="I138" s="221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</row>
    <row r="139" ht="15.75" customHeight="1">
      <c r="A139" s="220"/>
      <c r="B139" s="220"/>
      <c r="C139" s="220"/>
      <c r="D139" s="220"/>
      <c r="E139" s="220"/>
      <c r="F139" s="220"/>
      <c r="G139" s="220"/>
      <c r="H139" s="220"/>
      <c r="I139" s="221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</row>
    <row r="140" ht="15.75" customHeight="1">
      <c r="A140" s="220"/>
      <c r="B140" s="220"/>
      <c r="C140" s="220"/>
      <c r="D140" s="220"/>
      <c r="E140" s="220"/>
      <c r="F140" s="220"/>
      <c r="G140" s="220"/>
      <c r="H140" s="220"/>
      <c r="I140" s="221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</row>
    <row r="141" ht="15.75" customHeight="1">
      <c r="A141" s="220"/>
      <c r="B141" s="220"/>
      <c r="C141" s="220"/>
      <c r="D141" s="220"/>
      <c r="E141" s="220"/>
      <c r="F141" s="220"/>
      <c r="G141" s="220"/>
      <c r="H141" s="220"/>
      <c r="I141" s="221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</row>
    <row r="142" ht="15.75" customHeight="1">
      <c r="A142" s="220"/>
      <c r="B142" s="220"/>
      <c r="C142" s="220"/>
      <c r="D142" s="220"/>
      <c r="E142" s="220"/>
      <c r="F142" s="220"/>
      <c r="G142" s="220"/>
      <c r="H142" s="220"/>
      <c r="I142" s="221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</row>
    <row r="143" ht="15.75" customHeight="1">
      <c r="A143" s="220"/>
      <c r="B143" s="220"/>
      <c r="C143" s="220"/>
      <c r="D143" s="220"/>
      <c r="E143" s="220"/>
      <c r="F143" s="220"/>
      <c r="G143" s="220"/>
      <c r="H143" s="220"/>
      <c r="I143" s="221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</row>
    <row r="144" ht="15.75" customHeight="1">
      <c r="A144" s="220"/>
      <c r="B144" s="220"/>
      <c r="C144" s="220"/>
      <c r="D144" s="220"/>
      <c r="E144" s="220"/>
      <c r="F144" s="220"/>
      <c r="G144" s="220"/>
      <c r="H144" s="220"/>
      <c r="I144" s="221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</row>
    <row r="145" ht="15.75" customHeight="1">
      <c r="A145" s="220"/>
      <c r="B145" s="220"/>
      <c r="C145" s="220"/>
      <c r="D145" s="220"/>
      <c r="E145" s="220"/>
      <c r="F145" s="220"/>
      <c r="G145" s="220"/>
      <c r="H145" s="220"/>
      <c r="I145" s="221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</row>
    <row r="146" ht="15.75" customHeight="1">
      <c r="A146" s="220"/>
      <c r="B146" s="220"/>
      <c r="C146" s="220"/>
      <c r="D146" s="220"/>
      <c r="E146" s="220"/>
      <c r="F146" s="220"/>
      <c r="G146" s="220"/>
      <c r="H146" s="220"/>
      <c r="I146" s="221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</row>
    <row r="147" ht="15.75" customHeight="1">
      <c r="A147" s="220"/>
      <c r="B147" s="220"/>
      <c r="C147" s="220"/>
      <c r="D147" s="220"/>
      <c r="E147" s="220"/>
      <c r="F147" s="220"/>
      <c r="G147" s="220"/>
      <c r="H147" s="220"/>
      <c r="I147" s="221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</row>
    <row r="148" ht="15.75" customHeight="1">
      <c r="A148" s="220"/>
      <c r="B148" s="220"/>
      <c r="C148" s="220"/>
      <c r="D148" s="220"/>
      <c r="E148" s="220"/>
      <c r="F148" s="220"/>
      <c r="G148" s="220"/>
      <c r="H148" s="220"/>
      <c r="I148" s="221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</row>
    <row r="149" ht="15.75" customHeight="1">
      <c r="A149" s="220"/>
      <c r="B149" s="220"/>
      <c r="C149" s="220"/>
      <c r="D149" s="220"/>
      <c r="E149" s="220"/>
      <c r="F149" s="220"/>
      <c r="G149" s="220"/>
      <c r="H149" s="220"/>
      <c r="I149" s="221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</row>
    <row r="150" ht="15.75" customHeight="1">
      <c r="A150" s="220"/>
      <c r="B150" s="220"/>
      <c r="C150" s="220"/>
      <c r="D150" s="220"/>
      <c r="E150" s="220"/>
      <c r="F150" s="220"/>
      <c r="G150" s="220"/>
      <c r="H150" s="220"/>
      <c r="I150" s="221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</row>
    <row r="151" ht="15.75" customHeight="1">
      <c r="A151" s="220"/>
      <c r="B151" s="220"/>
      <c r="C151" s="220"/>
      <c r="D151" s="220"/>
      <c r="E151" s="220"/>
      <c r="F151" s="220"/>
      <c r="G151" s="220"/>
      <c r="H151" s="220"/>
      <c r="I151" s="221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</row>
    <row r="152" ht="15.75" customHeight="1">
      <c r="A152" s="220"/>
      <c r="B152" s="220"/>
      <c r="C152" s="220"/>
      <c r="D152" s="220"/>
      <c r="E152" s="220"/>
      <c r="F152" s="220"/>
      <c r="G152" s="220"/>
      <c r="H152" s="220"/>
      <c r="I152" s="221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</row>
    <row r="153" ht="15.75" customHeight="1">
      <c r="A153" s="220"/>
      <c r="B153" s="220"/>
      <c r="C153" s="220"/>
      <c r="D153" s="220"/>
      <c r="E153" s="220"/>
      <c r="F153" s="220"/>
      <c r="G153" s="220"/>
      <c r="H153" s="220"/>
      <c r="I153" s="221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</row>
    <row r="154" ht="15.75" customHeight="1">
      <c r="A154" s="220"/>
      <c r="B154" s="220"/>
      <c r="C154" s="220"/>
      <c r="D154" s="220"/>
      <c r="E154" s="220"/>
      <c r="F154" s="220"/>
      <c r="G154" s="220"/>
      <c r="H154" s="220"/>
      <c r="I154" s="221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</row>
    <row r="155" ht="15.75" customHeight="1">
      <c r="A155" s="220"/>
      <c r="B155" s="220"/>
      <c r="C155" s="220"/>
      <c r="D155" s="220"/>
      <c r="E155" s="220"/>
      <c r="F155" s="220"/>
      <c r="G155" s="220"/>
      <c r="H155" s="220"/>
      <c r="I155" s="221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</row>
    <row r="156" ht="15.75" customHeight="1">
      <c r="A156" s="220"/>
      <c r="B156" s="220"/>
      <c r="C156" s="220"/>
      <c r="D156" s="220"/>
      <c r="E156" s="220"/>
      <c r="F156" s="220"/>
      <c r="G156" s="220"/>
      <c r="H156" s="220"/>
      <c r="I156" s="221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</row>
    <row r="157" ht="15.75" customHeight="1">
      <c r="A157" s="220"/>
      <c r="B157" s="220"/>
      <c r="C157" s="220"/>
      <c r="D157" s="220"/>
      <c r="E157" s="220"/>
      <c r="F157" s="220"/>
      <c r="G157" s="220"/>
      <c r="H157" s="220"/>
      <c r="I157" s="221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</row>
    <row r="158" ht="15.75" customHeight="1">
      <c r="A158" s="220"/>
      <c r="B158" s="220"/>
      <c r="C158" s="220"/>
      <c r="D158" s="220"/>
      <c r="E158" s="220"/>
      <c r="F158" s="220"/>
      <c r="G158" s="220"/>
      <c r="H158" s="220"/>
      <c r="I158" s="221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</row>
    <row r="159" ht="15.75" customHeight="1">
      <c r="A159" s="220"/>
      <c r="B159" s="220"/>
      <c r="C159" s="220"/>
      <c r="D159" s="220"/>
      <c r="E159" s="220"/>
      <c r="F159" s="220"/>
      <c r="G159" s="220"/>
      <c r="H159" s="220"/>
      <c r="I159" s="221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</row>
    <row r="160" ht="15.75" customHeight="1">
      <c r="A160" s="220"/>
      <c r="B160" s="220"/>
      <c r="C160" s="220"/>
      <c r="D160" s="220"/>
      <c r="E160" s="220"/>
      <c r="F160" s="220"/>
      <c r="G160" s="220"/>
      <c r="H160" s="220"/>
      <c r="I160" s="221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</row>
    <row r="161" ht="15.75" customHeight="1">
      <c r="A161" s="220"/>
      <c r="B161" s="220"/>
      <c r="C161" s="220"/>
      <c r="D161" s="220"/>
      <c r="E161" s="220"/>
      <c r="F161" s="220"/>
      <c r="G161" s="220"/>
      <c r="H161" s="220"/>
      <c r="I161" s="221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</row>
    <row r="162" ht="15.75" customHeight="1">
      <c r="A162" s="220"/>
      <c r="B162" s="220"/>
      <c r="C162" s="220"/>
      <c r="D162" s="220"/>
      <c r="E162" s="220"/>
      <c r="F162" s="220"/>
      <c r="G162" s="220"/>
      <c r="H162" s="220"/>
      <c r="I162" s="221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</row>
    <row r="163" ht="15.75" customHeight="1">
      <c r="A163" s="220"/>
      <c r="B163" s="220"/>
      <c r="C163" s="220"/>
      <c r="D163" s="220"/>
      <c r="E163" s="220"/>
      <c r="F163" s="220"/>
      <c r="G163" s="220"/>
      <c r="H163" s="220"/>
      <c r="I163" s="221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</row>
    <row r="164" ht="15.75" customHeight="1">
      <c r="A164" s="220"/>
      <c r="B164" s="220"/>
      <c r="C164" s="220"/>
      <c r="D164" s="220"/>
      <c r="E164" s="220"/>
      <c r="F164" s="220"/>
      <c r="G164" s="220"/>
      <c r="H164" s="220"/>
      <c r="I164" s="221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</row>
    <row r="165" ht="15.75" customHeight="1">
      <c r="A165" s="220"/>
      <c r="B165" s="220"/>
      <c r="C165" s="220"/>
      <c r="D165" s="220"/>
      <c r="E165" s="220"/>
      <c r="F165" s="220"/>
      <c r="G165" s="220"/>
      <c r="H165" s="220"/>
      <c r="I165" s="221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</row>
    <row r="166" ht="15.75" customHeight="1">
      <c r="A166" s="220"/>
      <c r="B166" s="220"/>
      <c r="C166" s="220"/>
      <c r="D166" s="220"/>
      <c r="E166" s="220"/>
      <c r="F166" s="220"/>
      <c r="G166" s="220"/>
      <c r="H166" s="220"/>
      <c r="I166" s="221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</row>
    <row r="167" ht="15.75" customHeight="1">
      <c r="A167" s="220"/>
      <c r="B167" s="220"/>
      <c r="C167" s="220"/>
      <c r="D167" s="220"/>
      <c r="E167" s="220"/>
      <c r="F167" s="220"/>
      <c r="G167" s="220"/>
      <c r="H167" s="220"/>
      <c r="I167" s="221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</row>
    <row r="168" ht="15.75" customHeight="1">
      <c r="A168" s="220"/>
      <c r="B168" s="220"/>
      <c r="C168" s="220"/>
      <c r="D168" s="220"/>
      <c r="E168" s="220"/>
      <c r="F168" s="220"/>
      <c r="G168" s="220"/>
      <c r="H168" s="220"/>
      <c r="I168" s="221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</row>
    <row r="169" ht="15.75" customHeight="1">
      <c r="A169" s="220"/>
      <c r="B169" s="220"/>
      <c r="C169" s="220"/>
      <c r="D169" s="220"/>
      <c r="E169" s="220"/>
      <c r="F169" s="220"/>
      <c r="G169" s="220"/>
      <c r="H169" s="220"/>
      <c r="I169" s="221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</row>
    <row r="170" ht="15.75" customHeight="1">
      <c r="A170" s="220"/>
      <c r="B170" s="220"/>
      <c r="C170" s="220"/>
      <c r="D170" s="220"/>
      <c r="E170" s="220"/>
      <c r="F170" s="220"/>
      <c r="G170" s="220"/>
      <c r="H170" s="220"/>
      <c r="I170" s="221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</row>
    <row r="171" ht="15.75" customHeight="1">
      <c r="A171" s="220"/>
      <c r="B171" s="220"/>
      <c r="C171" s="220"/>
      <c r="D171" s="220"/>
      <c r="E171" s="220"/>
      <c r="F171" s="220"/>
      <c r="G171" s="220"/>
      <c r="H171" s="220"/>
      <c r="I171" s="221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</row>
    <row r="172" ht="15.75" customHeight="1">
      <c r="A172" s="220"/>
      <c r="B172" s="220"/>
      <c r="C172" s="220"/>
      <c r="D172" s="220"/>
      <c r="E172" s="220"/>
      <c r="F172" s="220"/>
      <c r="G172" s="220"/>
      <c r="H172" s="220"/>
      <c r="I172" s="221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</row>
    <row r="173" ht="15.75" customHeight="1">
      <c r="A173" s="220"/>
      <c r="B173" s="220"/>
      <c r="C173" s="220"/>
      <c r="D173" s="220"/>
      <c r="E173" s="220"/>
      <c r="F173" s="220"/>
      <c r="G173" s="220"/>
      <c r="H173" s="220"/>
      <c r="I173" s="221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</row>
    <row r="174" ht="15.75" customHeight="1">
      <c r="A174" s="220"/>
      <c r="B174" s="220"/>
      <c r="C174" s="220"/>
      <c r="D174" s="220"/>
      <c r="E174" s="220"/>
      <c r="F174" s="220"/>
      <c r="G174" s="220"/>
      <c r="H174" s="220"/>
      <c r="I174" s="221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</row>
    <row r="175" ht="15.75" customHeight="1">
      <c r="A175" s="220"/>
      <c r="B175" s="220"/>
      <c r="C175" s="220"/>
      <c r="D175" s="220"/>
      <c r="E175" s="220"/>
      <c r="F175" s="220"/>
      <c r="G175" s="220"/>
      <c r="H175" s="220"/>
      <c r="I175" s="221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</row>
    <row r="176" ht="15.75" customHeight="1">
      <c r="A176" s="220"/>
      <c r="B176" s="220"/>
      <c r="C176" s="220"/>
      <c r="D176" s="220"/>
      <c r="E176" s="220"/>
      <c r="F176" s="220"/>
      <c r="G176" s="220"/>
      <c r="H176" s="220"/>
      <c r="I176" s="221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</row>
    <row r="177" ht="15.75" customHeight="1">
      <c r="A177" s="220"/>
      <c r="B177" s="220"/>
      <c r="C177" s="220"/>
      <c r="D177" s="220"/>
      <c r="E177" s="220"/>
      <c r="F177" s="220"/>
      <c r="G177" s="220"/>
      <c r="H177" s="220"/>
      <c r="I177" s="221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</row>
    <row r="178" ht="15.75" customHeight="1">
      <c r="A178" s="220"/>
      <c r="B178" s="220"/>
      <c r="C178" s="220"/>
      <c r="D178" s="220"/>
      <c r="E178" s="220"/>
      <c r="F178" s="220"/>
      <c r="G178" s="220"/>
      <c r="H178" s="220"/>
      <c r="I178" s="221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</row>
    <row r="179" ht="15.75" customHeight="1">
      <c r="A179" s="220"/>
      <c r="B179" s="220"/>
      <c r="C179" s="220"/>
      <c r="D179" s="220"/>
      <c r="E179" s="220"/>
      <c r="F179" s="220"/>
      <c r="G179" s="220"/>
      <c r="H179" s="220"/>
      <c r="I179" s="221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</row>
    <row r="180" ht="15.75" customHeight="1">
      <c r="A180" s="220"/>
      <c r="B180" s="220"/>
      <c r="C180" s="220"/>
      <c r="D180" s="220"/>
      <c r="E180" s="220"/>
      <c r="F180" s="220"/>
      <c r="G180" s="220"/>
      <c r="H180" s="220"/>
      <c r="I180" s="221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</row>
    <row r="181" ht="15.75" customHeight="1">
      <c r="A181" s="220"/>
      <c r="B181" s="220"/>
      <c r="C181" s="220"/>
      <c r="D181" s="220"/>
      <c r="E181" s="220"/>
      <c r="F181" s="220"/>
      <c r="G181" s="220"/>
      <c r="H181" s="220"/>
      <c r="I181" s="221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</row>
    <row r="182" ht="15.75" customHeight="1">
      <c r="A182" s="220"/>
      <c r="B182" s="220"/>
      <c r="C182" s="220"/>
      <c r="D182" s="220"/>
      <c r="E182" s="220"/>
      <c r="F182" s="220"/>
      <c r="G182" s="220"/>
      <c r="H182" s="220"/>
      <c r="I182" s="221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</row>
    <row r="183" ht="15.75" customHeight="1">
      <c r="A183" s="220"/>
      <c r="B183" s="220"/>
      <c r="C183" s="220"/>
      <c r="D183" s="220"/>
      <c r="E183" s="220"/>
      <c r="F183" s="220"/>
      <c r="G183" s="220"/>
      <c r="H183" s="220"/>
      <c r="I183" s="221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</row>
    <row r="184" ht="15.75" customHeight="1">
      <c r="A184" s="220"/>
      <c r="B184" s="220"/>
      <c r="C184" s="220"/>
      <c r="D184" s="220"/>
      <c r="E184" s="220"/>
      <c r="F184" s="220"/>
      <c r="G184" s="220"/>
      <c r="H184" s="220"/>
      <c r="I184" s="221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</row>
    <row r="185" ht="15.75" customHeight="1">
      <c r="A185" s="220"/>
      <c r="B185" s="220"/>
      <c r="C185" s="220"/>
      <c r="D185" s="220"/>
      <c r="E185" s="220"/>
      <c r="F185" s="220"/>
      <c r="G185" s="220"/>
      <c r="H185" s="220"/>
      <c r="I185" s="221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</row>
    <row r="186" ht="15.75" customHeight="1">
      <c r="A186" s="220"/>
      <c r="B186" s="220"/>
      <c r="C186" s="220"/>
      <c r="D186" s="220"/>
      <c r="E186" s="220"/>
      <c r="F186" s="220"/>
      <c r="G186" s="220"/>
      <c r="H186" s="220"/>
      <c r="I186" s="221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</row>
    <row r="187" ht="15.75" customHeight="1">
      <c r="A187" s="220"/>
      <c r="B187" s="220"/>
      <c r="C187" s="220"/>
      <c r="D187" s="220"/>
      <c r="E187" s="220"/>
      <c r="F187" s="220"/>
      <c r="G187" s="220"/>
      <c r="H187" s="220"/>
      <c r="I187" s="221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</row>
    <row r="188" ht="15.75" customHeight="1">
      <c r="A188" s="220"/>
      <c r="B188" s="220"/>
      <c r="C188" s="220"/>
      <c r="D188" s="220"/>
      <c r="E188" s="220"/>
      <c r="F188" s="220"/>
      <c r="G188" s="220"/>
      <c r="H188" s="220"/>
      <c r="I188" s="221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</row>
    <row r="189" ht="15.75" customHeight="1">
      <c r="A189" s="220"/>
      <c r="B189" s="220"/>
      <c r="C189" s="220"/>
      <c r="D189" s="220"/>
      <c r="E189" s="220"/>
      <c r="F189" s="220"/>
      <c r="G189" s="220"/>
      <c r="H189" s="220"/>
      <c r="I189" s="221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</row>
    <row r="190" ht="15.75" customHeight="1">
      <c r="A190" s="220"/>
      <c r="B190" s="220"/>
      <c r="C190" s="220"/>
      <c r="D190" s="220"/>
      <c r="E190" s="220"/>
      <c r="F190" s="220"/>
      <c r="G190" s="220"/>
      <c r="H190" s="220"/>
      <c r="I190" s="221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</row>
    <row r="191" ht="15.75" customHeight="1">
      <c r="A191" s="220"/>
      <c r="B191" s="220"/>
      <c r="C191" s="220"/>
      <c r="D191" s="220"/>
      <c r="E191" s="220"/>
      <c r="F191" s="220"/>
      <c r="G191" s="220"/>
      <c r="H191" s="220"/>
      <c r="I191" s="221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</row>
    <row r="192" ht="15.75" customHeight="1">
      <c r="A192" s="220"/>
      <c r="B192" s="220"/>
      <c r="C192" s="220"/>
      <c r="D192" s="220"/>
      <c r="E192" s="220"/>
      <c r="F192" s="220"/>
      <c r="G192" s="220"/>
      <c r="H192" s="220"/>
      <c r="I192" s="221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</row>
    <row r="193" ht="15.75" customHeight="1">
      <c r="A193" s="220"/>
      <c r="B193" s="220"/>
      <c r="C193" s="220"/>
      <c r="D193" s="220"/>
      <c r="E193" s="220"/>
      <c r="F193" s="220"/>
      <c r="G193" s="220"/>
      <c r="H193" s="220"/>
      <c r="I193" s="221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</row>
    <row r="194" ht="15.75" customHeight="1">
      <c r="A194" s="220"/>
      <c r="B194" s="220"/>
      <c r="C194" s="220"/>
      <c r="D194" s="220"/>
      <c r="E194" s="220"/>
      <c r="F194" s="220"/>
      <c r="G194" s="220"/>
      <c r="H194" s="220"/>
      <c r="I194" s="221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</row>
    <row r="195" ht="15.75" customHeight="1">
      <c r="A195" s="220"/>
      <c r="B195" s="220"/>
      <c r="C195" s="220"/>
      <c r="D195" s="220"/>
      <c r="E195" s="220"/>
      <c r="F195" s="220"/>
      <c r="G195" s="220"/>
      <c r="H195" s="220"/>
      <c r="I195" s="221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</row>
    <row r="196" ht="15.75" customHeight="1">
      <c r="A196" s="220"/>
      <c r="B196" s="220"/>
      <c r="C196" s="220"/>
      <c r="D196" s="220"/>
      <c r="E196" s="220"/>
      <c r="F196" s="220"/>
      <c r="G196" s="220"/>
      <c r="H196" s="220"/>
      <c r="I196" s="221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</row>
    <row r="197" ht="15.75" customHeight="1">
      <c r="A197" s="220"/>
      <c r="B197" s="220"/>
      <c r="C197" s="220"/>
      <c r="D197" s="220"/>
      <c r="E197" s="220"/>
      <c r="F197" s="220"/>
      <c r="G197" s="220"/>
      <c r="H197" s="220"/>
      <c r="I197" s="221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</row>
    <row r="198" ht="15.75" customHeight="1">
      <c r="A198" s="220"/>
      <c r="B198" s="220"/>
      <c r="C198" s="220"/>
      <c r="D198" s="220"/>
      <c r="E198" s="220"/>
      <c r="F198" s="220"/>
      <c r="G198" s="220"/>
      <c r="H198" s="220"/>
      <c r="I198" s="221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</row>
    <row r="199" ht="15.75" customHeight="1">
      <c r="A199" s="220"/>
      <c r="B199" s="220"/>
      <c r="C199" s="220"/>
      <c r="D199" s="220"/>
      <c r="E199" s="220"/>
      <c r="F199" s="220"/>
      <c r="G199" s="220"/>
      <c r="H199" s="220"/>
      <c r="I199" s="221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</row>
    <row r="200" ht="15.75" customHeight="1">
      <c r="A200" s="220"/>
      <c r="B200" s="220"/>
      <c r="C200" s="220"/>
      <c r="D200" s="220"/>
      <c r="E200" s="220"/>
      <c r="F200" s="220"/>
      <c r="G200" s="220"/>
      <c r="H200" s="220"/>
      <c r="I200" s="221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</row>
    <row r="201" ht="15.75" customHeight="1">
      <c r="A201" s="220"/>
      <c r="B201" s="220"/>
      <c r="C201" s="220"/>
      <c r="D201" s="220"/>
      <c r="E201" s="220"/>
      <c r="F201" s="220"/>
      <c r="G201" s="220"/>
      <c r="H201" s="220"/>
      <c r="I201" s="221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</row>
    <row r="202" ht="15.75" customHeight="1">
      <c r="A202" s="220"/>
      <c r="B202" s="220"/>
      <c r="C202" s="220"/>
      <c r="D202" s="220"/>
      <c r="E202" s="220"/>
      <c r="F202" s="220"/>
      <c r="G202" s="220"/>
      <c r="H202" s="220"/>
      <c r="I202" s="221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</row>
    <row r="203" ht="15.75" customHeight="1">
      <c r="A203" s="220"/>
      <c r="B203" s="220"/>
      <c r="C203" s="220"/>
      <c r="D203" s="220"/>
      <c r="E203" s="220"/>
      <c r="F203" s="220"/>
      <c r="G203" s="220"/>
      <c r="H203" s="220"/>
      <c r="I203" s="221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</row>
    <row r="204" ht="15.75" customHeight="1">
      <c r="A204" s="220"/>
      <c r="B204" s="220"/>
      <c r="C204" s="220"/>
      <c r="D204" s="220"/>
      <c r="E204" s="220"/>
      <c r="F204" s="220"/>
      <c r="G204" s="220"/>
      <c r="H204" s="220"/>
      <c r="I204" s="221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</row>
    <row r="205" ht="15.75" customHeight="1">
      <c r="A205" s="220"/>
      <c r="B205" s="220"/>
      <c r="C205" s="220"/>
      <c r="D205" s="220"/>
      <c r="E205" s="220"/>
      <c r="F205" s="220"/>
      <c r="G205" s="220"/>
      <c r="H205" s="220"/>
      <c r="I205" s="221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</row>
    <row r="206" ht="15.75" customHeight="1">
      <c r="A206" s="220"/>
      <c r="B206" s="220"/>
      <c r="C206" s="220"/>
      <c r="D206" s="220"/>
      <c r="E206" s="220"/>
      <c r="F206" s="220"/>
      <c r="G206" s="220"/>
      <c r="H206" s="220"/>
      <c r="I206" s="221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</row>
    <row r="207" ht="15.75" customHeight="1">
      <c r="A207" s="220"/>
      <c r="B207" s="220"/>
      <c r="C207" s="220"/>
      <c r="D207" s="220"/>
      <c r="E207" s="220"/>
      <c r="F207" s="220"/>
      <c r="G207" s="220"/>
      <c r="H207" s="220"/>
      <c r="I207" s="221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</row>
    <row r="208" ht="15.75" customHeight="1">
      <c r="A208" s="220"/>
      <c r="B208" s="220"/>
      <c r="C208" s="220"/>
      <c r="D208" s="220"/>
      <c r="E208" s="220"/>
      <c r="F208" s="220"/>
      <c r="G208" s="220"/>
      <c r="H208" s="220"/>
      <c r="I208" s="221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</row>
    <row r="209" ht="15.75" customHeight="1">
      <c r="A209" s="220"/>
      <c r="B209" s="220"/>
      <c r="C209" s="220"/>
      <c r="D209" s="220"/>
      <c r="E209" s="220"/>
      <c r="F209" s="220"/>
      <c r="G209" s="220"/>
      <c r="H209" s="220"/>
      <c r="I209" s="221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</row>
    <row r="210" ht="15.75" customHeight="1">
      <c r="A210" s="220"/>
      <c r="B210" s="220"/>
      <c r="C210" s="220"/>
      <c r="D210" s="220"/>
      <c r="E210" s="220"/>
      <c r="F210" s="220"/>
      <c r="G210" s="220"/>
      <c r="H210" s="220"/>
      <c r="I210" s="221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</row>
    <row r="211" ht="15.75" customHeight="1">
      <c r="A211" s="220"/>
      <c r="B211" s="220"/>
      <c r="C211" s="220"/>
      <c r="D211" s="220"/>
      <c r="E211" s="220"/>
      <c r="F211" s="220"/>
      <c r="G211" s="220"/>
      <c r="H211" s="220"/>
      <c r="I211" s="221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</row>
    <row r="212" ht="15.75" customHeight="1">
      <c r="A212" s="220"/>
      <c r="B212" s="220"/>
      <c r="C212" s="220"/>
      <c r="D212" s="220"/>
      <c r="E212" s="220"/>
      <c r="F212" s="220"/>
      <c r="G212" s="220"/>
      <c r="H212" s="220"/>
      <c r="I212" s="221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</row>
    <row r="213" ht="15.75" customHeight="1">
      <c r="A213" s="220"/>
      <c r="B213" s="220"/>
      <c r="C213" s="220"/>
      <c r="D213" s="220"/>
      <c r="E213" s="220"/>
      <c r="F213" s="220"/>
      <c r="G213" s="220"/>
      <c r="H213" s="220"/>
      <c r="I213" s="221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</row>
    <row r="214" ht="15.75" customHeight="1">
      <c r="A214" s="220"/>
      <c r="B214" s="220"/>
      <c r="C214" s="220"/>
      <c r="D214" s="220"/>
      <c r="E214" s="220"/>
      <c r="F214" s="220"/>
      <c r="G214" s="220"/>
      <c r="H214" s="220"/>
      <c r="I214" s="221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</row>
    <row r="215" ht="15.75" customHeight="1">
      <c r="A215" s="220"/>
      <c r="B215" s="220"/>
      <c r="C215" s="220"/>
      <c r="D215" s="220"/>
      <c r="E215" s="220"/>
      <c r="F215" s="220"/>
      <c r="G215" s="220"/>
      <c r="H215" s="220"/>
      <c r="I215" s="221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</row>
    <row r="216" ht="15.75" customHeight="1">
      <c r="A216" s="220"/>
      <c r="B216" s="220"/>
      <c r="C216" s="220"/>
      <c r="D216" s="220"/>
      <c r="E216" s="220"/>
      <c r="F216" s="220"/>
      <c r="G216" s="220"/>
      <c r="H216" s="220"/>
      <c r="I216" s="221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</row>
    <row r="217" ht="15.75" customHeight="1">
      <c r="A217" s="220"/>
      <c r="B217" s="220"/>
      <c r="C217" s="220"/>
      <c r="D217" s="220"/>
      <c r="E217" s="220"/>
      <c r="F217" s="220"/>
      <c r="G217" s="220"/>
      <c r="H217" s="220"/>
      <c r="I217" s="221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</row>
    <row r="218" ht="15.75" customHeight="1">
      <c r="A218" s="220"/>
      <c r="B218" s="220"/>
      <c r="C218" s="220"/>
      <c r="D218" s="220"/>
      <c r="E218" s="220"/>
      <c r="F218" s="220"/>
      <c r="G218" s="220"/>
      <c r="H218" s="220"/>
      <c r="I218" s="221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</row>
    <row r="219" ht="15.75" customHeight="1">
      <c r="A219" s="220"/>
      <c r="B219" s="220"/>
      <c r="C219" s="220"/>
      <c r="D219" s="220"/>
      <c r="E219" s="220"/>
      <c r="F219" s="220"/>
      <c r="G219" s="220"/>
      <c r="H219" s="220"/>
      <c r="I219" s="221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</row>
    <row r="220" ht="15.75" customHeight="1">
      <c r="A220" s="220"/>
      <c r="B220" s="220"/>
      <c r="C220" s="220"/>
      <c r="D220" s="220"/>
      <c r="E220" s="220"/>
      <c r="F220" s="220"/>
      <c r="G220" s="220"/>
      <c r="H220" s="220"/>
      <c r="I220" s="221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</row>
    <row r="221" ht="15.75" customHeight="1">
      <c r="A221" s="220"/>
      <c r="B221" s="220"/>
      <c r="C221" s="220"/>
      <c r="D221" s="220"/>
      <c r="E221" s="220"/>
      <c r="F221" s="220"/>
      <c r="G221" s="220"/>
      <c r="H221" s="220"/>
      <c r="I221" s="221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</row>
    <row r="222" ht="15.75" customHeight="1">
      <c r="A222" s="220"/>
      <c r="B222" s="220"/>
      <c r="C222" s="220"/>
      <c r="D222" s="220"/>
      <c r="E222" s="220"/>
      <c r="F222" s="220"/>
      <c r="G222" s="220"/>
      <c r="H222" s="220"/>
      <c r="I222" s="221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</row>
    <row r="223" ht="15.75" customHeight="1">
      <c r="A223" s="220"/>
      <c r="B223" s="220"/>
      <c r="C223" s="220"/>
      <c r="D223" s="220"/>
      <c r="E223" s="220"/>
      <c r="F223" s="220"/>
      <c r="G223" s="220"/>
      <c r="H223" s="220"/>
      <c r="I223" s="221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</row>
    <row r="224" ht="15.75" customHeight="1">
      <c r="A224" s="220"/>
      <c r="B224" s="220"/>
      <c r="C224" s="220"/>
      <c r="D224" s="220"/>
      <c r="E224" s="220"/>
      <c r="F224" s="220"/>
      <c r="G224" s="220"/>
      <c r="H224" s="220"/>
      <c r="I224" s="221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</row>
    <row r="225" ht="15.75" customHeight="1">
      <c r="A225" s="220"/>
      <c r="B225" s="220"/>
      <c r="C225" s="220"/>
      <c r="D225" s="220"/>
      <c r="E225" s="220"/>
      <c r="F225" s="220"/>
      <c r="G225" s="220"/>
      <c r="H225" s="220"/>
      <c r="I225" s="221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</row>
    <row r="226" ht="15.75" customHeight="1">
      <c r="A226" s="220"/>
      <c r="B226" s="220"/>
      <c r="C226" s="220"/>
      <c r="D226" s="220"/>
      <c r="E226" s="220"/>
      <c r="F226" s="220"/>
      <c r="G226" s="220"/>
      <c r="H226" s="220"/>
      <c r="I226" s="221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</row>
    <row r="227" ht="15.75" customHeight="1">
      <c r="A227" s="220"/>
      <c r="B227" s="220"/>
      <c r="C227" s="220"/>
      <c r="D227" s="220"/>
      <c r="E227" s="220"/>
      <c r="F227" s="220"/>
      <c r="G227" s="220"/>
      <c r="H227" s="220"/>
      <c r="I227" s="221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</row>
    <row r="228" ht="15.75" customHeight="1">
      <c r="A228" s="220"/>
      <c r="B228" s="220"/>
      <c r="C228" s="220"/>
      <c r="D228" s="220"/>
      <c r="E228" s="220"/>
      <c r="F228" s="220"/>
      <c r="G228" s="220"/>
      <c r="H228" s="220"/>
      <c r="I228" s="221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</row>
    <row r="229" ht="15.75" customHeight="1">
      <c r="A229" s="220"/>
      <c r="B229" s="220"/>
      <c r="C229" s="220"/>
      <c r="D229" s="220"/>
      <c r="E229" s="220"/>
      <c r="F229" s="220"/>
      <c r="G229" s="220"/>
      <c r="H229" s="220"/>
      <c r="I229" s="221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</row>
    <row r="230" ht="15.75" customHeight="1">
      <c r="A230" s="220"/>
      <c r="B230" s="220"/>
      <c r="C230" s="220"/>
      <c r="D230" s="220"/>
      <c r="E230" s="220"/>
      <c r="F230" s="220"/>
      <c r="G230" s="220"/>
      <c r="H230" s="220"/>
      <c r="I230" s="221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</row>
    <row r="231" ht="15.75" customHeight="1">
      <c r="A231" s="220"/>
      <c r="B231" s="220"/>
      <c r="C231" s="220"/>
      <c r="D231" s="220"/>
      <c r="E231" s="220"/>
      <c r="F231" s="220"/>
      <c r="G231" s="220"/>
      <c r="H231" s="220"/>
      <c r="I231" s="221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</row>
    <row r="232" ht="15.75" customHeight="1">
      <c r="A232" s="220"/>
      <c r="B232" s="220"/>
      <c r="C232" s="220"/>
      <c r="D232" s="220"/>
      <c r="E232" s="220"/>
      <c r="F232" s="220"/>
      <c r="G232" s="220"/>
      <c r="H232" s="220"/>
      <c r="I232" s="221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</row>
    <row r="2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1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</row>
    <row r="234" ht="15.75" customHeight="1">
      <c r="A234" s="220"/>
      <c r="B234" s="220"/>
      <c r="C234" s="220"/>
      <c r="D234" s="220"/>
      <c r="E234" s="220"/>
      <c r="F234" s="220"/>
      <c r="G234" s="220"/>
      <c r="H234" s="220"/>
      <c r="I234" s="221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</row>
    <row r="235" ht="15.75" customHeight="1">
      <c r="A235" s="220"/>
      <c r="B235" s="220"/>
      <c r="C235" s="220"/>
      <c r="D235" s="220"/>
      <c r="E235" s="220"/>
      <c r="F235" s="220"/>
      <c r="G235" s="220"/>
      <c r="H235" s="220"/>
      <c r="I235" s="221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</row>
    <row r="236" ht="15.75" customHeight="1">
      <c r="A236" s="220"/>
      <c r="B236" s="220"/>
      <c r="C236" s="220"/>
      <c r="D236" s="220"/>
      <c r="E236" s="220"/>
      <c r="F236" s="220"/>
      <c r="G236" s="220"/>
      <c r="H236" s="220"/>
      <c r="I236" s="221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C4"/>
    <mergeCell ref="B9:C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31.14"/>
    <col customWidth="1" min="3" max="3" width="18.29"/>
    <col customWidth="1" min="4" max="4" width="19.71"/>
    <col customWidth="1" min="5" max="5" width="14.43"/>
    <col customWidth="1" min="6" max="6" width="1.14"/>
  </cols>
  <sheetData>
    <row r="1" ht="15.75" customHeight="1">
      <c r="A1" s="228" t="s">
        <v>1372</v>
      </c>
      <c r="B1" s="228" t="s">
        <v>1373</v>
      </c>
      <c r="C1" s="228" t="s">
        <v>1374</v>
      </c>
    </row>
    <row r="2" ht="15.75" customHeight="1">
      <c r="A2" s="229" t="s">
        <v>1375</v>
      </c>
      <c r="B2" s="229" t="s">
        <v>1376</v>
      </c>
      <c r="C2" s="229" t="b">
        <v>1</v>
      </c>
    </row>
    <row r="3" ht="15.75" customHeight="1">
      <c r="A3" s="229" t="s">
        <v>1377</v>
      </c>
      <c r="B3" s="230" t="s">
        <v>157</v>
      </c>
      <c r="C3" s="131" t="b">
        <v>1</v>
      </c>
    </row>
    <row r="4" ht="15.75" customHeight="1">
      <c r="A4" s="229" t="s">
        <v>1378</v>
      </c>
      <c r="B4" s="229" t="s">
        <v>101</v>
      </c>
      <c r="C4" s="131" t="b">
        <v>1</v>
      </c>
    </row>
    <row r="5" ht="15.75" customHeight="1">
      <c r="A5" s="229" t="s">
        <v>1379</v>
      </c>
      <c r="B5" s="229" t="s">
        <v>102</v>
      </c>
      <c r="C5" s="131" t="b">
        <v>1</v>
      </c>
    </row>
    <row r="6" ht="15.75" customHeight="1">
      <c r="A6" s="229" t="s">
        <v>1380</v>
      </c>
      <c r="B6" s="229" t="s">
        <v>159</v>
      </c>
      <c r="C6" s="131" t="b">
        <v>1</v>
      </c>
    </row>
    <row r="7" ht="15.75" customHeight="1">
      <c r="A7" s="229" t="s">
        <v>1381</v>
      </c>
      <c r="B7" s="229" t="s">
        <v>160</v>
      </c>
      <c r="C7" s="131" t="b">
        <v>1</v>
      </c>
    </row>
    <row r="8" ht="15.75" customHeight="1">
      <c r="A8" s="229" t="s">
        <v>1382</v>
      </c>
      <c r="B8" s="229" t="s">
        <v>161</v>
      </c>
      <c r="C8" s="131" t="b">
        <v>1</v>
      </c>
    </row>
    <row r="9" ht="15.75" customHeight="1">
      <c r="A9" s="229" t="s">
        <v>1383</v>
      </c>
      <c r="B9" s="229" t="s">
        <v>162</v>
      </c>
      <c r="C9" s="131" t="b">
        <v>1</v>
      </c>
    </row>
    <row r="10" ht="15.75" customHeight="1">
      <c r="A10" s="229" t="s">
        <v>1384</v>
      </c>
      <c r="B10" s="229" t="s">
        <v>110</v>
      </c>
      <c r="C10" s="131" t="b">
        <v>1</v>
      </c>
    </row>
    <row r="11" ht="15.75" customHeight="1">
      <c r="A11" s="229" t="s">
        <v>1385</v>
      </c>
      <c r="B11" s="229" t="s">
        <v>111</v>
      </c>
      <c r="C11" s="131" t="b">
        <v>1</v>
      </c>
    </row>
    <row r="12" ht="15.75" customHeight="1">
      <c r="A12" s="229" t="s">
        <v>1386</v>
      </c>
      <c r="B12" s="229" t="s">
        <v>121</v>
      </c>
      <c r="C12" s="131" t="b">
        <v>1</v>
      </c>
    </row>
    <row r="13" ht="15.75" customHeight="1">
      <c r="A13" s="229" t="s">
        <v>1387</v>
      </c>
      <c r="B13" s="229" t="s">
        <v>122</v>
      </c>
      <c r="C13" s="131" t="b">
        <v>1</v>
      </c>
    </row>
    <row r="14" ht="15.75" customHeight="1">
      <c r="A14" s="229" t="s">
        <v>1388</v>
      </c>
      <c r="B14" s="229" t="s">
        <v>163</v>
      </c>
      <c r="C14" s="131" t="b">
        <v>1</v>
      </c>
    </row>
    <row r="15" ht="15.75" customHeight="1">
      <c r="A15" s="231"/>
      <c r="B15" s="231"/>
      <c r="C15" s="231"/>
      <c r="D15" s="231"/>
      <c r="E15" s="231"/>
      <c r="F15" s="231"/>
      <c r="G15" s="231"/>
    </row>
    <row r="16" ht="15.75" customHeight="1">
      <c r="A16" s="232" t="s">
        <v>1389</v>
      </c>
      <c r="B16" s="233"/>
      <c r="C16" s="233"/>
      <c r="D16" s="16"/>
      <c r="E16" s="234" t="s">
        <v>1390</v>
      </c>
      <c r="F16" s="3"/>
      <c r="G16" s="235" t="s">
        <v>1391</v>
      </c>
    </row>
    <row r="17" ht="15.75" customHeight="1">
      <c r="A17" s="236" t="s">
        <v>1392</v>
      </c>
      <c r="B17" s="236" t="s">
        <v>1117</v>
      </c>
      <c r="C17" s="236" t="s">
        <v>1393</v>
      </c>
      <c r="D17" s="236" t="s">
        <v>1394</v>
      </c>
      <c r="E17" s="30"/>
      <c r="F17" s="31"/>
      <c r="G17" s="58"/>
    </row>
    <row r="18" ht="15.75" customHeight="1">
      <c r="A18" s="176">
        <v>1.0</v>
      </c>
      <c r="B18" s="164" t="s">
        <v>1395</v>
      </c>
      <c r="C18" s="164" t="s">
        <v>1396</v>
      </c>
      <c r="D18" s="176" t="s">
        <v>320</v>
      </c>
      <c r="E18" s="237" t="b">
        <v>1</v>
      </c>
      <c r="F18" s="16"/>
      <c r="G18" s="238" t="b">
        <v>1</v>
      </c>
    </row>
    <row r="19" ht="15.75" customHeight="1">
      <c r="A19" s="176">
        <v>2.0</v>
      </c>
      <c r="B19" s="164"/>
      <c r="C19" s="164" t="s">
        <v>1397</v>
      </c>
      <c r="D19" s="176" t="s">
        <v>320</v>
      </c>
      <c r="E19" s="237" t="b">
        <v>1</v>
      </c>
      <c r="F19" s="16"/>
      <c r="G19" s="238" t="b">
        <v>1</v>
      </c>
    </row>
    <row r="20" ht="15.75" customHeight="1">
      <c r="A20" s="176">
        <v>3.0</v>
      </c>
      <c r="B20" s="164"/>
      <c r="C20" s="164" t="s">
        <v>1398</v>
      </c>
      <c r="D20" s="176" t="s">
        <v>320</v>
      </c>
      <c r="E20" s="237" t="b">
        <v>1</v>
      </c>
      <c r="F20" s="16"/>
      <c r="G20" s="238" t="b">
        <v>1</v>
      </c>
    </row>
    <row r="21" ht="15.75" customHeight="1">
      <c r="A21" s="176">
        <v>4.0</v>
      </c>
      <c r="B21" s="164"/>
      <c r="C21" s="164" t="s">
        <v>1399</v>
      </c>
      <c r="D21" s="176" t="s">
        <v>320</v>
      </c>
      <c r="E21" s="237" t="b">
        <v>0</v>
      </c>
      <c r="F21" s="16"/>
      <c r="G21" s="238" t="b">
        <v>0</v>
      </c>
    </row>
    <row r="22" ht="15.75" customHeight="1">
      <c r="A22" s="176">
        <v>5.0</v>
      </c>
      <c r="B22" s="164" t="s">
        <v>1400</v>
      </c>
      <c r="C22" s="164"/>
      <c r="D22" s="176" t="s">
        <v>320</v>
      </c>
      <c r="E22" s="237" t="b">
        <v>0</v>
      </c>
      <c r="F22" s="16"/>
      <c r="G22" s="238" t="b">
        <v>0</v>
      </c>
    </row>
    <row r="23" ht="15.75" customHeight="1">
      <c r="A23" s="176">
        <v>6.0</v>
      </c>
      <c r="B23" s="164" t="s">
        <v>1401</v>
      </c>
      <c r="C23" s="164" t="s">
        <v>1402</v>
      </c>
      <c r="D23" s="176" t="s">
        <v>320</v>
      </c>
      <c r="E23" s="237" t="b">
        <v>0</v>
      </c>
      <c r="F23" s="16"/>
      <c r="G23" s="238" t="b">
        <v>0</v>
      </c>
    </row>
    <row r="24" ht="15.75" customHeight="1">
      <c r="A24" s="176">
        <v>7.0</v>
      </c>
      <c r="B24" s="164"/>
      <c r="C24" s="164" t="s">
        <v>1403</v>
      </c>
      <c r="D24" s="176" t="s">
        <v>320</v>
      </c>
      <c r="E24" s="237" t="b">
        <v>0</v>
      </c>
      <c r="F24" s="16"/>
      <c r="G24" s="238" t="b">
        <v>0</v>
      </c>
    </row>
    <row r="25" ht="15.75" customHeight="1">
      <c r="A25" s="176">
        <v>8.0</v>
      </c>
      <c r="B25" s="164" t="s">
        <v>1404</v>
      </c>
      <c r="C25" s="164" t="s">
        <v>1277</v>
      </c>
      <c r="D25" s="176" t="s">
        <v>320</v>
      </c>
      <c r="E25" s="237" t="b">
        <v>1</v>
      </c>
      <c r="F25" s="16"/>
      <c r="G25" s="238" t="b">
        <v>1</v>
      </c>
    </row>
    <row r="26" ht="15.75" customHeight="1">
      <c r="A26" s="176">
        <v>9.0</v>
      </c>
      <c r="B26" s="164"/>
      <c r="C26" s="164" t="s">
        <v>1283</v>
      </c>
      <c r="D26" s="176" t="s">
        <v>320</v>
      </c>
      <c r="E26" s="237" t="b">
        <v>1</v>
      </c>
      <c r="F26" s="16"/>
      <c r="G26" s="238" t="b">
        <v>1</v>
      </c>
    </row>
    <row r="27" ht="15.75" customHeight="1">
      <c r="A27" s="176">
        <v>10.0</v>
      </c>
      <c r="B27" s="164" t="s">
        <v>1405</v>
      </c>
      <c r="C27" s="164" t="s">
        <v>1406</v>
      </c>
      <c r="D27" s="176" t="s">
        <v>320</v>
      </c>
      <c r="E27" s="237" t="b">
        <v>1</v>
      </c>
      <c r="F27" s="16"/>
      <c r="G27" s="238" t="b">
        <v>1</v>
      </c>
    </row>
    <row r="28" ht="15.75" customHeight="1">
      <c r="A28" s="176">
        <v>11.0</v>
      </c>
      <c r="B28" s="164" t="s">
        <v>1271</v>
      </c>
      <c r="C28" s="164"/>
      <c r="D28" s="176" t="s">
        <v>320</v>
      </c>
      <c r="E28" s="237" t="b">
        <v>1</v>
      </c>
      <c r="F28" s="16"/>
      <c r="G28" s="238" t="b">
        <v>1</v>
      </c>
    </row>
    <row r="29" ht="15.75" customHeight="1">
      <c r="A29" s="176">
        <v>12.0</v>
      </c>
      <c r="B29" s="164" t="s">
        <v>69</v>
      </c>
      <c r="C29" s="164"/>
      <c r="D29" s="176" t="s">
        <v>320</v>
      </c>
      <c r="E29" s="237" t="b">
        <v>1</v>
      </c>
      <c r="F29" s="16"/>
      <c r="G29" s="238" t="b">
        <v>1</v>
      </c>
    </row>
    <row r="30" ht="15.75" customHeight="1">
      <c r="A30" s="176">
        <v>13.0</v>
      </c>
      <c r="B30" s="164" t="s">
        <v>1407</v>
      </c>
      <c r="C30" s="164" t="s">
        <v>1408</v>
      </c>
      <c r="D30" s="176" t="s">
        <v>320</v>
      </c>
      <c r="E30" s="237" t="b">
        <v>1</v>
      </c>
      <c r="F30" s="16"/>
      <c r="G30" s="238" t="b">
        <v>1</v>
      </c>
    </row>
    <row r="31" ht="15.75" customHeight="1">
      <c r="A31" s="176">
        <v>14.0</v>
      </c>
      <c r="B31" s="164"/>
      <c r="C31" s="164" t="s">
        <v>1409</v>
      </c>
      <c r="D31" s="176" t="s">
        <v>320</v>
      </c>
      <c r="E31" s="237" t="b">
        <v>1</v>
      </c>
      <c r="F31" s="16"/>
      <c r="G31" s="238" t="b">
        <v>1</v>
      </c>
    </row>
    <row r="32" ht="15.75" customHeight="1">
      <c r="A32" s="176">
        <v>15.0</v>
      </c>
      <c r="B32" s="164"/>
      <c r="C32" s="164" t="s">
        <v>1410</v>
      </c>
      <c r="D32" s="164" t="s">
        <v>1411</v>
      </c>
      <c r="E32" s="237" t="b">
        <v>1</v>
      </c>
      <c r="F32" s="16"/>
      <c r="G32" s="238" t="b">
        <v>1</v>
      </c>
    </row>
    <row r="33" ht="15.75" customHeight="1">
      <c r="A33" s="176">
        <v>16.0</v>
      </c>
      <c r="B33" s="164"/>
      <c r="C33" s="164"/>
      <c r="D33" s="164" t="s">
        <v>1412</v>
      </c>
      <c r="E33" s="237" t="b">
        <v>1</v>
      </c>
      <c r="F33" s="16"/>
      <c r="G33" s="238" t="b">
        <v>1</v>
      </c>
    </row>
    <row r="34" ht="15.75" customHeight="1">
      <c r="A34" s="176">
        <v>17.0</v>
      </c>
      <c r="B34" s="164"/>
      <c r="C34" s="164"/>
      <c r="D34" s="164" t="s">
        <v>1410</v>
      </c>
      <c r="E34" s="237" t="b">
        <v>1</v>
      </c>
      <c r="F34" s="16"/>
      <c r="G34" s="238" t="b">
        <v>1</v>
      </c>
    </row>
    <row r="35" ht="15.75" customHeight="1">
      <c r="A35" s="176">
        <v>18.0</v>
      </c>
      <c r="B35" s="164" t="s">
        <v>1413</v>
      </c>
      <c r="C35" s="164"/>
      <c r="D35" s="176" t="s">
        <v>320</v>
      </c>
      <c r="E35" s="237" t="b">
        <v>1</v>
      </c>
      <c r="F35" s="16"/>
      <c r="G35" s="238" t="b">
        <v>1</v>
      </c>
    </row>
    <row r="36" ht="15.75" customHeight="1">
      <c r="A36" s="176">
        <v>19.0</v>
      </c>
      <c r="B36" s="164" t="s">
        <v>1414</v>
      </c>
      <c r="C36" s="164"/>
      <c r="D36" s="176" t="s">
        <v>320</v>
      </c>
      <c r="E36" s="237" t="b">
        <v>1</v>
      </c>
      <c r="F36" s="16"/>
      <c r="G36" s="238" t="b">
        <v>1</v>
      </c>
    </row>
    <row r="37" ht="15.75" customHeight="1">
      <c r="A37" s="176">
        <v>20.0</v>
      </c>
      <c r="B37" s="164" t="s">
        <v>1415</v>
      </c>
      <c r="C37" s="164"/>
      <c r="D37" s="176" t="s">
        <v>320</v>
      </c>
      <c r="E37" s="237" t="b">
        <v>1</v>
      </c>
      <c r="F37" s="16"/>
      <c r="G37" s="238" t="b">
        <v>1</v>
      </c>
    </row>
    <row r="38" ht="15.75" customHeight="1">
      <c r="A38" s="175"/>
      <c r="B38" s="175"/>
      <c r="C38" s="175"/>
      <c r="D38" s="175"/>
      <c r="E38" s="175"/>
      <c r="F38" s="175"/>
      <c r="G38" s="175"/>
    </row>
    <row r="39" ht="15.75" customHeight="1">
      <c r="A39" s="175"/>
      <c r="B39" s="239" t="s">
        <v>1416</v>
      </c>
      <c r="C39" s="240">
        <v>16.0</v>
      </c>
      <c r="D39" s="175"/>
      <c r="E39" s="175"/>
      <c r="F39" s="175"/>
      <c r="G39" s="175"/>
    </row>
    <row r="40" ht="15.75" customHeight="1">
      <c r="A40" s="175"/>
      <c r="B40" s="239" t="s">
        <v>1417</v>
      </c>
      <c r="C40" s="240">
        <v>4.0</v>
      </c>
      <c r="D40" s="175"/>
      <c r="E40" s="175"/>
      <c r="F40" s="175"/>
      <c r="G40" s="17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6:D16"/>
    <mergeCell ref="E16:F17"/>
    <mergeCell ref="G16:G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36:F36"/>
    <mergeCell ref="E37:F37"/>
    <mergeCell ref="E29:F29"/>
    <mergeCell ref="E30:F30"/>
    <mergeCell ref="E31:F31"/>
    <mergeCell ref="E32:F32"/>
    <mergeCell ref="E33:F33"/>
    <mergeCell ref="E34:F34"/>
    <mergeCell ref="E35:F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6" max="6" width="9.0"/>
    <col customWidth="1" min="7" max="39" width="4.29"/>
  </cols>
  <sheetData>
    <row r="1">
      <c r="A1" s="241" t="s">
        <v>1418</v>
      </c>
      <c r="B1" s="241" t="s">
        <v>1419</v>
      </c>
      <c r="C1" s="241" t="s">
        <v>11</v>
      </c>
      <c r="D1" s="241" t="s">
        <v>1420</v>
      </c>
      <c r="E1" s="241" t="s">
        <v>1421</v>
      </c>
      <c r="F1" s="241" t="s">
        <v>1422</v>
      </c>
      <c r="G1" s="242" t="s">
        <v>1423</v>
      </c>
      <c r="H1" s="233"/>
      <c r="I1" s="233"/>
      <c r="J1" s="233"/>
      <c r="K1" s="233"/>
      <c r="L1" s="16"/>
      <c r="M1" s="242" t="s">
        <v>1424</v>
      </c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16"/>
      <c r="AB1" s="242" t="s">
        <v>1425</v>
      </c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16"/>
    </row>
    <row r="2">
      <c r="A2" s="243" t="s">
        <v>1426</v>
      </c>
      <c r="B2" s="244" t="s">
        <v>1427</v>
      </c>
      <c r="C2" s="244" t="s">
        <v>14</v>
      </c>
      <c r="D2" s="244" t="s">
        <v>1428</v>
      </c>
      <c r="E2" s="244" t="s">
        <v>1429</v>
      </c>
      <c r="F2" s="245">
        <v>1.0</v>
      </c>
      <c r="G2" s="246"/>
      <c r="H2" s="246"/>
      <c r="I2" s="247" t="s">
        <v>1430</v>
      </c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</row>
    <row r="3">
      <c r="A3" s="243" t="s">
        <v>1426</v>
      </c>
      <c r="B3" s="244" t="s">
        <v>1431</v>
      </c>
      <c r="C3" s="244" t="s">
        <v>1432</v>
      </c>
      <c r="D3" s="244" t="s">
        <v>1433</v>
      </c>
      <c r="E3" s="244" t="s">
        <v>1429</v>
      </c>
      <c r="F3" s="245">
        <v>1.0</v>
      </c>
      <c r="G3" s="249"/>
      <c r="H3" s="249"/>
      <c r="I3" s="249"/>
      <c r="J3" s="250"/>
      <c r="K3" s="250"/>
      <c r="L3" s="251" t="s">
        <v>1430</v>
      </c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</row>
    <row r="4">
      <c r="A4" s="243" t="s">
        <v>1434</v>
      </c>
      <c r="B4" s="244" t="s">
        <v>1435</v>
      </c>
      <c r="C4" s="244" t="s">
        <v>14</v>
      </c>
      <c r="D4" s="244" t="s">
        <v>1433</v>
      </c>
      <c r="E4" s="244" t="s">
        <v>1436</v>
      </c>
      <c r="F4" s="245">
        <v>1.0</v>
      </c>
      <c r="G4" s="249"/>
      <c r="H4" s="249"/>
      <c r="I4" s="249"/>
      <c r="J4" s="249"/>
      <c r="K4" s="249"/>
      <c r="L4" s="249"/>
      <c r="M4" s="250"/>
      <c r="N4" s="252" t="s">
        <v>1430</v>
      </c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</row>
    <row r="5">
      <c r="A5" s="243" t="s">
        <v>1434</v>
      </c>
      <c r="B5" s="244" t="s">
        <v>1437</v>
      </c>
      <c r="C5" s="244" t="s">
        <v>14</v>
      </c>
      <c r="D5" s="244" t="s">
        <v>1433</v>
      </c>
      <c r="E5" s="244" t="s">
        <v>1436</v>
      </c>
      <c r="F5" s="245">
        <v>1.0</v>
      </c>
      <c r="G5" s="249"/>
      <c r="H5" s="249"/>
      <c r="I5" s="249"/>
      <c r="J5" s="249"/>
      <c r="K5" s="249"/>
      <c r="L5" s="249"/>
      <c r="M5" s="249"/>
      <c r="N5" s="249"/>
      <c r="O5" s="250"/>
      <c r="P5" s="250"/>
      <c r="Q5" s="250"/>
      <c r="R5" s="250"/>
      <c r="S5" s="253"/>
      <c r="T5" s="253"/>
      <c r="U5" s="252" t="s">
        <v>1430</v>
      </c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</row>
    <row r="6">
      <c r="A6" s="243" t="s">
        <v>1438</v>
      </c>
      <c r="B6" s="244" t="s">
        <v>1439</v>
      </c>
      <c r="C6" s="244" t="s">
        <v>1440</v>
      </c>
      <c r="D6" s="244" t="s">
        <v>1429</v>
      </c>
      <c r="E6" s="244" t="s">
        <v>1436</v>
      </c>
      <c r="F6" s="245">
        <v>1.0</v>
      </c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54"/>
      <c r="W6" s="255" t="s">
        <v>1430</v>
      </c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</row>
    <row r="7">
      <c r="A7" s="243" t="s">
        <v>1441</v>
      </c>
      <c r="B7" s="244" t="s">
        <v>1442</v>
      </c>
      <c r="C7" s="244" t="s">
        <v>1440</v>
      </c>
      <c r="D7" s="244" t="s">
        <v>1443</v>
      </c>
      <c r="E7" s="244" t="s">
        <v>1444</v>
      </c>
      <c r="F7" s="245">
        <v>0.8</v>
      </c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56"/>
      <c r="Y7" s="256"/>
      <c r="Z7" s="256"/>
      <c r="AA7" s="256"/>
      <c r="AB7" s="256"/>
      <c r="AC7" s="256"/>
      <c r="AD7" s="257" t="s">
        <v>1430</v>
      </c>
      <c r="AE7" s="249"/>
      <c r="AF7" s="249"/>
      <c r="AG7" s="249"/>
      <c r="AH7" s="249"/>
      <c r="AI7" s="249"/>
      <c r="AJ7" s="249"/>
      <c r="AK7" s="249"/>
      <c r="AL7" s="249"/>
      <c r="AM7" s="249"/>
    </row>
    <row r="8">
      <c r="A8" s="243" t="s">
        <v>1441</v>
      </c>
      <c r="B8" s="244" t="s">
        <v>1445</v>
      </c>
      <c r="C8" s="244" t="s">
        <v>1440</v>
      </c>
      <c r="D8" s="244" t="s">
        <v>1446</v>
      </c>
      <c r="E8" s="244" t="s">
        <v>1444</v>
      </c>
      <c r="F8" s="245">
        <v>0.2</v>
      </c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  <c r="Y8" s="249"/>
      <c r="Z8" s="249"/>
      <c r="AA8" s="249"/>
      <c r="AB8" s="249"/>
      <c r="AC8" s="249"/>
      <c r="AD8" s="249"/>
      <c r="AE8" s="256"/>
      <c r="AF8" s="256"/>
      <c r="AG8" s="257" t="s">
        <v>1430</v>
      </c>
      <c r="AH8" s="249"/>
      <c r="AI8" s="249"/>
      <c r="AJ8" s="249"/>
      <c r="AK8" s="249"/>
      <c r="AL8" s="249"/>
      <c r="AM8" s="249"/>
    </row>
    <row r="9">
      <c r="A9" s="243" t="s">
        <v>1447</v>
      </c>
      <c r="B9" s="244" t="s">
        <v>1448</v>
      </c>
      <c r="C9" s="244" t="s">
        <v>14</v>
      </c>
      <c r="D9" s="244" t="s">
        <v>1449</v>
      </c>
      <c r="E9" s="244" t="s">
        <v>1444</v>
      </c>
      <c r="F9" s="245">
        <v>1.0</v>
      </c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49"/>
      <c r="AB9" s="249"/>
      <c r="AC9" s="249"/>
      <c r="AD9" s="249"/>
      <c r="AE9" s="249"/>
      <c r="AF9" s="249"/>
      <c r="AG9" s="249"/>
      <c r="AH9" s="258"/>
      <c r="AI9" s="259" t="s">
        <v>1430</v>
      </c>
      <c r="AJ9" s="249"/>
      <c r="AK9" s="249"/>
      <c r="AL9" s="249"/>
      <c r="AM9" s="249"/>
    </row>
    <row r="10">
      <c r="A10" s="243" t="s">
        <v>1447</v>
      </c>
      <c r="B10" s="244" t="s">
        <v>1450</v>
      </c>
      <c r="C10" s="244" t="s">
        <v>14</v>
      </c>
      <c r="D10" s="244" t="s">
        <v>1449</v>
      </c>
      <c r="E10" s="244" t="s">
        <v>1444</v>
      </c>
      <c r="F10" s="245">
        <v>1.0</v>
      </c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249"/>
      <c r="AI10" s="249"/>
      <c r="AJ10" s="258"/>
      <c r="AK10" s="258"/>
      <c r="AL10" s="259" t="s">
        <v>1430</v>
      </c>
      <c r="AM10" s="249"/>
    </row>
    <row r="11">
      <c r="A11" s="243" t="s">
        <v>1451</v>
      </c>
      <c r="B11" s="244" t="s">
        <v>1452</v>
      </c>
      <c r="C11" s="244" t="s">
        <v>14</v>
      </c>
      <c r="D11" s="244" t="s">
        <v>1444</v>
      </c>
      <c r="E11" s="244" t="s">
        <v>1444</v>
      </c>
      <c r="F11" s="245">
        <v>1.0</v>
      </c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49"/>
      <c r="AH11" s="249"/>
      <c r="AI11" s="249"/>
      <c r="AJ11" s="249"/>
      <c r="AK11" s="249"/>
      <c r="AL11" s="249"/>
      <c r="AM11" s="260" t="s">
        <v>1430</v>
      </c>
    </row>
  </sheetData>
  <mergeCells count="3">
    <mergeCell ref="G1:L1"/>
    <mergeCell ref="M1:AA1"/>
    <mergeCell ref="AB1:AM1"/>
  </mergeCells>
  <drawing r:id="rId1"/>
</worksheet>
</file>